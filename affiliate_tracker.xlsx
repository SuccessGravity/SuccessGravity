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신청 트래커" sheetId="1" state="visible" r:id="rId3"/>
    <sheet name="가이드" sheetId="2" state="visible" r:id="rId4"/>
  </sheets>
  <definedNames>
    <definedName function="false" hidden="true" localSheetId="0" name="_xlnm._FilterDatabase" vbProcedure="false">'신청 트래커'!$A$1:$M$85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<sst xmlns="http://schemas.openxmlformats.org/spreadsheetml/2006/main" count="955" uniqueCount="337">
  <si>
    <t xml:space="preserve">우선순위</t>
  </si>
  <si>
    <t xml:space="preserve">툴 이름</t>
  </si>
  <si>
    <t xml:space="preserve">카테고리</t>
  </si>
  <si>
    <t xml:space="preserve">사이트 게재</t>
  </si>
  <si>
    <t xml:space="preserve">프로그램</t>
  </si>
  <si>
    <r>
      <rPr>
        <b val="true"/>
        <sz val="10"/>
        <color rgb="FFFFFFFF"/>
        <rFont val="Noto Sans CJK SC"/>
        <family val="2"/>
      </rPr>
      <t xml:space="preserve">네트워크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플랫폼</t>
    </r>
  </si>
  <si>
    <t xml:space="preserve">커미션</t>
  </si>
  <si>
    <r>
      <rPr>
        <b val="true"/>
        <sz val="10"/>
        <color rgb="FFFFFFFF"/>
        <rFont val="Noto Sans CJK SC"/>
        <family val="2"/>
      </rPr>
      <t xml:space="preserve">쿠키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일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</si>
  <si>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신청 페이지</t>
  </si>
  <si>
    <t xml:space="preserve">신청 상태</t>
  </si>
  <si>
    <t xml:space="preserve">신청일</t>
  </si>
  <si>
    <t xml:space="preserve">내 어필리에이트 링크</t>
  </si>
  <si>
    <t xml:space="preserve">메모</t>
  </si>
  <si>
    <t xml:space="preserve">높음</t>
  </si>
  <si>
    <t xml:space="preserve">ActiveCampaign</t>
  </si>
  <si>
    <t xml:space="preserve">이메일 마케팅</t>
  </si>
  <si>
    <t xml:space="preserve">Y</t>
  </si>
  <si>
    <t xml:space="preserve">있음</t>
  </si>
  <si>
    <t xml:space="preserve">PartnerStack</t>
  </si>
  <si>
    <r>
      <rPr>
        <sz val="10"/>
        <rFont val="Arial"/>
        <family val="0"/>
        <charset val="1"/>
      </rPr>
      <t xml:space="preserve">20~30% recurring (</t>
    </r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</si>
  <si>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t xml:space="preserve">90</t>
  </si>
  <si>
    <t xml:space="preserve">신청 페이지 열기</t>
  </si>
  <si>
    <t xml:space="preserve">신청함</t>
  </si>
  <si>
    <t xml:space="preserve">2026-07-20</t>
  </si>
  <si>
    <r>
      <rPr>
        <sz val="10"/>
        <rFont val="Noto Sans CJK SC"/>
        <family val="2"/>
      </rPr>
      <t xml:space="preserve">실적 티어제</t>
    </r>
    <r>
      <rPr>
        <sz val="10"/>
        <rFont val="Arial"/>
        <family val="0"/>
        <charset val="1"/>
      </rPr>
      <t xml:space="preserve">. maxinchoi@gmail.com</t>
    </r>
    <r>
      <rPr>
        <sz val="10"/>
        <rFont val="Noto Sans CJK SC"/>
        <family val="2"/>
      </rPr>
      <t xml:space="preserve">으로 신청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승인 대기중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리뷰 페이지 있음</t>
    </r>
  </si>
  <si>
    <t xml:space="preserve">Mailmodo</t>
  </si>
  <si>
    <t xml:space="preserve">FirstPromoter</t>
  </si>
  <si>
    <t xml:space="preserve">20% recurring</t>
  </si>
  <si>
    <t xml:space="preserve">60</t>
  </si>
  <si>
    <t xml:space="preserve">미신청</t>
  </si>
  <si>
    <r>
      <rPr>
        <sz val="10"/>
        <rFont val="Noto Sans CJK SC"/>
        <family val="2"/>
      </rPr>
      <t xml:space="preserve">가입은 </t>
    </r>
    <r>
      <rPr>
        <sz val="10"/>
        <rFont val="Arial"/>
        <family val="0"/>
        <charset val="1"/>
      </rPr>
      <t xml:space="preserve">mailmodo.firstpromoter.com </t>
    </r>
    <r>
      <rPr>
        <sz val="10"/>
        <rFont val="Noto Sans CJK SC"/>
        <family val="2"/>
      </rPr>
      <t xml:space="preserve">경유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리뷰 페이지 있음</t>
    </r>
  </si>
  <si>
    <t xml:space="preserve">Semrush</t>
  </si>
  <si>
    <r>
      <rPr>
        <sz val="10"/>
        <rFont val="Arial"/>
        <family val="0"/>
        <charset val="1"/>
      </rPr>
      <t xml:space="preserve">SEO/</t>
    </r>
    <r>
      <rPr>
        <sz val="10"/>
        <rFont val="Noto Sans CJK SC"/>
        <family val="2"/>
      </rPr>
      <t xml:space="preserve">콘텐츠</t>
    </r>
  </si>
  <si>
    <t xml:space="preserve">Impact</t>
  </si>
  <si>
    <r>
      <rPr>
        <sz val="10"/>
        <rFont val="Arial"/>
        <family val="0"/>
        <charset val="1"/>
      </rPr>
      <t xml:space="preserve">$200/</t>
    </r>
    <r>
      <rPr>
        <sz val="10"/>
        <rFont val="Noto Sans CJK SC"/>
        <family val="2"/>
      </rPr>
      <t xml:space="preserve">판매 </t>
    </r>
    <r>
      <rPr>
        <sz val="10"/>
        <rFont val="Arial"/>
        <family val="0"/>
        <charset val="1"/>
      </rPr>
      <t xml:space="preserve">+ $10/</t>
    </r>
    <r>
      <rPr>
        <sz val="10"/>
        <rFont val="Noto Sans CJK SC"/>
        <family val="2"/>
      </rPr>
      <t xml:space="preserve">무료체험</t>
    </r>
  </si>
  <si>
    <t xml:space="preserve">120</t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</si>
  <si>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영업일 내 심사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리뷰 페이지 있음</t>
    </r>
  </si>
  <si>
    <t xml:space="preserve">Jasper AI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</si>
  <si>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콘텐츠</t>
    </r>
  </si>
  <si>
    <r>
      <rPr>
        <sz val="10"/>
        <rFont val="Arial"/>
        <family val="0"/>
        <charset val="1"/>
      </rPr>
      <t xml:space="preserve">25~30% recurring (</t>
    </r>
    <r>
      <rPr>
        <sz val="10"/>
        <rFont val="Noto Sans CJK SC"/>
        <family val="2"/>
      </rPr>
      <t xml:space="preserve">첫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</si>
  <si>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t xml:space="preserve">30</t>
  </si>
  <si>
    <r>
      <rPr>
        <sz val="10"/>
        <rFont val="Noto Sans CJK SC"/>
        <family val="2"/>
      </rPr>
      <t xml:space="preserve">최근 개인 제휴 제한 언급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조건 확인 필요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리뷰 페이지 있음</t>
    </r>
  </si>
  <si>
    <t xml:space="preserve">Shopify</t>
  </si>
  <si>
    <t xml:space="preserve">이커머스</t>
  </si>
  <si>
    <r>
      <rPr>
        <sz val="10"/>
        <rFont val="Noto Sans CJK SC"/>
        <family val="2"/>
      </rPr>
      <t xml:space="preserve">플랜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지역별 고정 바운티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~$150)</t>
    </r>
  </si>
  <si>
    <r>
      <rPr>
        <sz val="10"/>
        <rFont val="Noto Sans CJK SC"/>
        <family val="2"/>
      </rPr>
      <t xml:space="preserve">심사제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국가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플랜별 단가 상이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리뷰 페이지 있음</t>
    </r>
  </si>
  <si>
    <t xml:space="preserve">Grammarly</t>
  </si>
  <si>
    <r>
      <rPr>
        <sz val="10"/>
        <rFont val="Noto Sans CJK SC"/>
        <family val="2"/>
      </rPr>
      <t xml:space="preserve">무료가입 </t>
    </r>
    <r>
      <rPr>
        <sz val="10"/>
        <rFont val="Arial"/>
        <family val="0"/>
        <charset val="1"/>
      </rPr>
      <t xml:space="preserve">$0.20 / </t>
    </r>
    <r>
      <rPr>
        <sz val="10"/>
        <rFont val="Noto Sans CJK SC"/>
        <family val="2"/>
      </rPr>
      <t xml:space="preserve">프리미엄 </t>
    </r>
    <r>
      <rPr>
        <sz val="10"/>
        <rFont val="Arial"/>
        <family val="0"/>
        <charset val="1"/>
      </rPr>
      <t xml:space="preserve">~$20</t>
    </r>
  </si>
  <si>
    <r>
      <rPr>
        <sz val="10"/>
        <rFont val="Noto Sans CJK SC"/>
        <family val="2"/>
      </rPr>
      <t xml:space="preserve">가입형 </t>
    </r>
    <r>
      <rPr>
        <sz val="10"/>
        <rFont val="Arial"/>
        <family val="0"/>
        <charset val="1"/>
      </rPr>
      <t xml:space="preserve">CPA</t>
    </r>
    <r>
      <rPr>
        <sz val="10"/>
        <rFont val="Noto Sans CJK SC"/>
        <family val="2"/>
      </rPr>
      <t xml:space="preserve">라 트래픽 많을수록 유리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리뷰 페이지 있음</t>
    </r>
  </si>
  <si>
    <t xml:space="preserve">Surfer SEO</t>
  </si>
  <si>
    <r>
      <rPr>
        <sz val="10"/>
        <rFont val="Noto Sans CJK SC"/>
        <family val="2"/>
      </rPr>
      <t xml:space="preserve">월간 첫결제 </t>
    </r>
    <r>
      <rPr>
        <sz val="10"/>
        <rFont val="Arial"/>
        <family val="0"/>
        <charset val="1"/>
      </rPr>
      <t xml:space="preserve">75~125% / </t>
    </r>
    <r>
      <rPr>
        <sz val="10"/>
        <rFont val="Noto Sans CJK SC"/>
        <family val="2"/>
      </rPr>
      <t xml:space="preserve">연간 </t>
    </r>
    <r>
      <rPr>
        <sz val="10"/>
        <rFont val="Arial"/>
        <family val="0"/>
        <charset val="1"/>
      </rPr>
      <t xml:space="preserve">15~25%</t>
    </r>
  </si>
  <si>
    <r>
      <rPr>
        <sz val="10"/>
        <rFont val="Arial"/>
        <family val="0"/>
        <charset val="1"/>
      </rPr>
      <t xml:space="preserve">60 (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</si>
  <si>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추천 수에 따라 티어 상승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리뷰 페이지 있음</t>
    </r>
  </si>
  <si>
    <t xml:space="preserve">Canva</t>
  </si>
  <si>
    <t xml:space="preserve">디자인</t>
  </si>
  <si>
    <r>
      <rPr>
        <sz val="10"/>
        <rFont val="Arial"/>
        <family val="0"/>
        <charset val="1"/>
      </rPr>
      <t xml:space="preserve">Canvassador (</t>
    </r>
    <r>
      <rPr>
        <sz val="10"/>
        <rFont val="Noto Sans CJK SC"/>
        <family val="2"/>
      </rPr>
      <t xml:space="preserve">구 </t>
    </r>
    <r>
      <rPr>
        <sz val="10"/>
        <rFont val="Arial"/>
        <family val="0"/>
        <charset val="1"/>
      </rPr>
      <t xml:space="preserve">Impact)</t>
    </r>
  </si>
  <si>
    <r>
      <rPr>
        <sz val="10"/>
        <rFont val="Noto Sans CJK SC"/>
        <family val="2"/>
      </rPr>
      <t xml:space="preserve">확인 필요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지역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등급별 상이</t>
    </r>
    <r>
      <rPr>
        <sz val="10"/>
        <rFont val="Arial"/>
        <family val="0"/>
        <charset val="1"/>
      </rPr>
      <t xml:space="preserve">)</t>
    </r>
  </si>
  <si>
    <t xml:space="preserve">확인 필요</t>
  </si>
  <si>
    <r>
      <rPr>
        <sz val="10"/>
        <rFont val="Noto Sans CJK SC"/>
        <family val="2"/>
      </rPr>
      <t xml:space="preserve">기존 제휴 종료</t>
    </r>
    <r>
      <rPr>
        <sz val="10"/>
        <rFont val="Arial"/>
        <family val="0"/>
        <charset val="1"/>
      </rPr>
      <t xml:space="preserve">, Canvassador </t>
    </r>
    <r>
      <rPr>
        <sz val="10"/>
        <rFont val="Noto Sans CJK SC"/>
        <family val="2"/>
      </rPr>
      <t xml:space="preserve">프로그램으로 지원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리뷰 페이지 있음</t>
    </r>
  </si>
  <si>
    <t xml:space="preserve">HubSpot</t>
  </si>
  <si>
    <r>
      <rPr>
        <sz val="10"/>
        <rFont val="Noto Sans CJK SC"/>
        <family val="2"/>
      </rPr>
      <t xml:space="preserve">이메일</t>
    </r>
    <r>
      <rPr>
        <sz val="10"/>
        <rFont val="Arial"/>
        <family val="0"/>
        <charset val="1"/>
      </rPr>
      <t xml:space="preserve">/CRM</t>
    </r>
  </si>
  <si>
    <r>
      <rPr>
        <sz val="10"/>
        <rFont val="Arial"/>
        <family val="0"/>
        <charset val="1"/>
      </rPr>
      <t xml:space="preserve">30% recurring (</t>
    </r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</si>
  <si>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t xml:space="preserve">180</t>
  </si>
  <si>
    <r>
      <rPr>
        <sz val="10"/>
        <rFont val="Noto Sans CJK SC"/>
        <family val="2"/>
      </rPr>
      <t xml:space="preserve">승인 심사 있음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고단가 플랜</t>
    </r>
  </si>
  <si>
    <t xml:space="preserve">Wix</t>
  </si>
  <si>
    <r>
      <rPr>
        <sz val="10"/>
        <rFont val="Noto Sans CJK SC"/>
        <family val="2"/>
      </rPr>
      <t xml:space="preserve">웹사이트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호스팅</t>
    </r>
  </si>
  <si>
    <r>
      <rPr>
        <sz val="10"/>
        <rFont val="Arial"/>
        <family val="0"/>
        <charset val="1"/>
      </rPr>
      <t xml:space="preserve">$100/</t>
    </r>
    <r>
      <rPr>
        <sz val="10"/>
        <rFont val="Noto Sans CJK SC"/>
        <family val="2"/>
      </rPr>
      <t xml:space="preserve">프리미엄 플랜 판매</t>
    </r>
  </si>
  <si>
    <r>
      <rPr>
        <sz val="10"/>
        <rFont val="Noto Sans CJK SC"/>
        <family val="2"/>
      </rPr>
      <t xml:space="preserve">판매당 고정 </t>
    </r>
    <r>
      <rPr>
        <sz val="10"/>
        <rFont val="Arial"/>
        <family val="0"/>
        <charset val="1"/>
      </rPr>
      <t xml:space="preserve">$100</t>
    </r>
  </si>
  <si>
    <t xml:space="preserve">Squarespace</t>
  </si>
  <si>
    <r>
      <rPr>
        <sz val="10"/>
        <rFont val="Arial"/>
        <family val="0"/>
        <charset val="1"/>
      </rPr>
      <t xml:space="preserve">$100~200/</t>
    </r>
    <r>
      <rPr>
        <sz val="10"/>
        <rFont val="Noto Sans CJK SC"/>
        <family val="2"/>
      </rPr>
      <t xml:space="preserve">신규 구독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일회성</t>
    </r>
    <r>
      <rPr>
        <sz val="10"/>
        <rFont val="Arial"/>
        <family val="0"/>
        <charset val="1"/>
      </rPr>
      <t xml:space="preserve">)</t>
    </r>
  </si>
  <si>
    <t xml:space="preserve">45</t>
  </si>
  <si>
    <r>
      <rPr>
        <sz val="10"/>
        <rFont val="Noto Sans CJK SC"/>
        <family val="2"/>
      </rPr>
      <t xml:space="preserve">최소 지급 </t>
    </r>
    <r>
      <rPr>
        <sz val="10"/>
        <rFont val="Arial"/>
        <family val="0"/>
        <charset val="1"/>
      </rPr>
      <t xml:space="preserve">$400 </t>
    </r>
    <r>
      <rPr>
        <sz val="10"/>
        <rFont val="Noto Sans CJK SC"/>
        <family val="2"/>
      </rPr>
      <t xml:space="preserve">보고됨</t>
    </r>
  </si>
  <si>
    <t xml:space="preserve">WordPress.com</t>
  </si>
  <si>
    <r>
      <rPr>
        <sz val="10"/>
        <rFont val="Noto Sans CJK SC"/>
        <family val="2"/>
      </rPr>
      <t xml:space="preserve">제품별 상이 </t>
    </r>
    <r>
      <rPr>
        <sz val="10"/>
        <rFont val="Arial"/>
        <family val="0"/>
        <charset val="1"/>
      </rPr>
      <t xml:space="preserve">(WP.com/Jetpack/Woo)</t>
    </r>
  </si>
  <si>
    <r>
      <rPr>
        <sz val="10"/>
        <rFont val="Arial"/>
        <family val="0"/>
        <charset val="1"/>
      </rPr>
      <t xml:space="preserve">Automattic </t>
    </r>
    <r>
      <rPr>
        <sz val="10"/>
        <rFont val="Noto Sans CJK SC"/>
        <family val="2"/>
      </rPr>
      <t xml:space="preserve">통합 프로그램</t>
    </r>
  </si>
  <si>
    <t xml:space="preserve">ClickUp</t>
  </si>
  <si>
    <r>
      <rPr>
        <sz val="10"/>
        <rFont val="Noto Sans CJK SC"/>
        <family val="2"/>
      </rPr>
      <t xml:space="preserve">생산성</t>
    </r>
    <r>
      <rPr>
        <sz val="10"/>
        <rFont val="Arial"/>
        <family val="0"/>
        <charset val="1"/>
      </rPr>
      <t xml:space="preserve">/CRM</t>
    </r>
  </si>
  <si>
    <r>
      <rPr>
        <sz val="10"/>
        <rFont val="Noto Sans CJK SC"/>
        <family val="2"/>
      </rPr>
      <t xml:space="preserve">신규 무료 워크스페이스당 최대 </t>
    </r>
    <r>
      <rPr>
        <sz val="10"/>
        <rFont val="Arial"/>
        <family val="0"/>
        <charset val="1"/>
      </rPr>
      <t xml:space="preserve">$25</t>
    </r>
  </si>
  <si>
    <r>
      <rPr>
        <sz val="10"/>
        <rFont val="Noto Sans CJK SC"/>
        <family val="2"/>
      </rPr>
      <t xml:space="preserve">리커링에서 </t>
    </r>
    <r>
      <rPr>
        <sz val="10"/>
        <rFont val="Arial"/>
        <family val="0"/>
        <charset val="1"/>
      </rPr>
      <t xml:space="preserve">CPA</t>
    </r>
    <r>
      <rPr>
        <sz val="10"/>
        <rFont val="Noto Sans CJK SC"/>
        <family val="2"/>
      </rPr>
      <t xml:space="preserve">형으로 개편됨</t>
    </r>
  </si>
  <si>
    <t xml:space="preserve">Tidio</t>
  </si>
  <si>
    <r>
      <rPr>
        <sz val="10"/>
        <rFont val="Noto Sans CJK SC"/>
        <family val="2"/>
      </rPr>
      <t xml:space="preserve">고객서비스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챗봇</t>
    </r>
  </si>
  <si>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평생 </t>
    </r>
    <r>
      <rPr>
        <sz val="10"/>
        <rFont val="Arial"/>
        <family val="0"/>
        <charset val="1"/>
      </rPr>
      <t xml:space="preserve">recurring</t>
    </r>
  </si>
  <si>
    <r>
      <rPr>
        <sz val="10"/>
        <rFont val="Arial"/>
        <family val="0"/>
        <charset val="1"/>
      </rPr>
      <t xml:space="preserve">tidiollc.partnerstack.com</t>
    </r>
    <r>
      <rPr>
        <sz val="10"/>
        <rFont val="Noto Sans CJK SC"/>
        <family val="2"/>
      </rPr>
      <t xml:space="preserve">에서 가입</t>
    </r>
  </si>
  <si>
    <t xml:space="preserve">Synthesia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</si>
  <si>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미디어</t>
    </r>
  </si>
  <si>
    <t xml:space="preserve">Rewardful</t>
  </si>
  <si>
    <r>
      <rPr>
        <sz val="10"/>
        <rFont val="Arial"/>
        <family val="0"/>
        <charset val="1"/>
      </rPr>
      <t xml:space="preserve">25% (Starter/Creator </t>
    </r>
    <r>
      <rPr>
        <sz val="10"/>
        <rFont val="Noto Sans CJK SC"/>
        <family val="2"/>
      </rPr>
      <t xml:space="preserve">결제분</t>
    </r>
    <r>
      <rPr>
        <sz val="10"/>
        <rFont val="Arial"/>
        <family val="0"/>
        <charset val="1"/>
      </rPr>
      <t xml:space="preserve">)</t>
    </r>
  </si>
  <si>
    <t xml:space="preserve">실적별 보너스 제공</t>
  </si>
  <si>
    <t xml:space="preserve">DeepBrain AI (AI Studios)</t>
  </si>
  <si>
    <t xml:space="preserve">In-house</t>
  </si>
  <si>
    <t xml:space="preserve">50%</t>
  </si>
  <si>
    <r>
      <rPr>
        <sz val="10"/>
        <rFont val="Noto Sans CJK SC"/>
        <family val="2"/>
      </rPr>
      <t xml:space="preserve">구글폼 신청</t>
    </r>
    <r>
      <rPr>
        <sz val="10"/>
        <rFont val="Arial"/>
        <family val="0"/>
        <charset val="1"/>
      </rPr>
      <t xml:space="preserve">, PayPal </t>
    </r>
    <r>
      <rPr>
        <sz val="10"/>
        <rFont val="Noto Sans CJK SC"/>
        <family val="2"/>
      </rPr>
      <t xml:space="preserve">지급</t>
    </r>
  </si>
  <si>
    <t xml:space="preserve">Murf AI</t>
  </si>
  <si>
    <r>
      <rPr>
        <sz val="10"/>
        <rFont val="Arial"/>
        <family val="0"/>
        <charset val="1"/>
      </rPr>
      <t xml:space="preserve">20% recurring (24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</si>
  <si>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t xml:space="preserve">OpusClip</t>
  </si>
  <si>
    <r>
      <rPr>
        <sz val="10"/>
        <rFont val="Arial"/>
        <family val="0"/>
        <charset val="1"/>
      </rPr>
      <t xml:space="preserve">25% recurring (</t>
    </r>
    <r>
      <rPr>
        <sz val="10"/>
        <rFont val="Noto Sans CJK SC"/>
        <family val="2"/>
      </rPr>
      <t xml:space="preserve">첫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</si>
  <si>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유료광고 홍보 금지</t>
    </r>
    <r>
      <rPr>
        <sz val="10"/>
        <rFont val="Arial"/>
        <family val="0"/>
        <charset val="1"/>
      </rPr>
      <t xml:space="preserve">, PayPal </t>
    </r>
    <r>
      <rPr>
        <sz val="10"/>
        <rFont val="Noto Sans CJK SC"/>
        <family val="2"/>
      </rPr>
      <t xml:space="preserve">지급</t>
    </r>
  </si>
  <si>
    <t xml:space="preserve">Writesonic</t>
  </si>
  <si>
    <r>
      <rPr>
        <sz val="10"/>
        <rFont val="Arial"/>
        <family val="0"/>
        <charset val="1"/>
      </rPr>
      <t xml:space="preserve">20% recurring (12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</si>
  <si>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시간 내 승인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유료광고 허용</t>
    </r>
  </si>
  <si>
    <t xml:space="preserve">BrandWell</t>
  </si>
  <si>
    <r>
      <rPr>
        <sz val="10"/>
        <rFont val="Noto Sans CJK SC"/>
        <family val="2"/>
      </rPr>
      <t xml:space="preserve">추천당 월 </t>
    </r>
    <r>
      <rPr>
        <sz val="10"/>
        <rFont val="Arial"/>
        <family val="0"/>
        <charset val="1"/>
      </rPr>
      <t xml:space="preserve">$75~300 recurring</t>
    </r>
  </si>
  <si>
    <r>
      <rPr>
        <sz val="10"/>
        <rFont val="Noto Sans CJK SC"/>
        <family val="2"/>
      </rPr>
      <t xml:space="preserve">구 </t>
    </r>
    <r>
      <rPr>
        <sz val="10"/>
        <rFont val="Arial"/>
        <family val="0"/>
        <charset val="1"/>
      </rPr>
      <t xml:space="preserve">Content at Scale</t>
    </r>
  </si>
  <si>
    <t xml:space="preserve">Gamma</t>
  </si>
  <si>
    <r>
      <rPr>
        <sz val="10"/>
        <rFont val="Noto Sans CJK SC"/>
        <family val="2"/>
      </rPr>
      <t xml:space="preserve">확인 필요 </t>
    </r>
    <r>
      <rPr>
        <sz val="10"/>
        <rFont val="Arial"/>
        <family val="0"/>
        <charset val="1"/>
      </rPr>
      <t xml:space="preserve">(25~30% recurring 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</si>
  <si>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승인 </t>
    </r>
    <r>
      <rPr>
        <sz val="10"/>
        <rFont val="Arial"/>
        <family val="0"/>
        <charset val="1"/>
      </rPr>
      <t xml:space="preserve">5~10 </t>
    </r>
    <r>
      <rPr>
        <sz val="10"/>
        <rFont val="Noto Sans CJK SC"/>
        <family val="2"/>
      </rPr>
      <t xml:space="preserve">영업일</t>
    </r>
  </si>
  <si>
    <t xml:space="preserve">CustomGPT.ai</t>
  </si>
  <si>
    <r>
      <rPr>
        <sz val="10"/>
        <rFont val="Arial"/>
        <family val="0"/>
        <charset val="1"/>
      </rPr>
      <t xml:space="preserve">15~20% recurring (2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등급제</t>
    </r>
    <r>
      <rPr>
        <sz val="10"/>
        <rFont val="Arial"/>
        <family val="0"/>
        <charset val="1"/>
      </rPr>
      <t xml:space="preserve">)</t>
    </r>
  </si>
  <si>
    <t xml:space="preserve">30~60</t>
  </si>
  <si>
    <r>
      <rPr>
        <sz val="10"/>
        <rFont val="Noto Sans CJK SC"/>
        <family val="2"/>
      </rPr>
      <t xml:space="preserve">등급 상승 시 쿠키 </t>
    </r>
    <r>
      <rPr>
        <sz val="10"/>
        <rFont val="Arial"/>
        <family val="0"/>
        <charset val="1"/>
      </rPr>
      <t xml:space="preserve">60</t>
    </r>
    <r>
      <rPr>
        <sz val="10"/>
        <rFont val="Noto Sans CJK SC"/>
        <family val="2"/>
      </rPr>
      <t xml:space="preserve">일</t>
    </r>
  </si>
  <si>
    <t xml:space="preserve">Browse AI</t>
  </si>
  <si>
    <r>
      <rPr>
        <sz val="10"/>
        <rFont val="Noto Sans CJK SC"/>
        <family val="2"/>
      </rPr>
      <t xml:space="preserve">데이터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자동화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</si>
  <si>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20~22% </t>
    </r>
    <r>
      <rPr>
        <sz val="10"/>
        <rFont val="Noto Sans CJK SC"/>
        <family val="2"/>
      </rPr>
      <t xml:space="preserve">평생 </t>
    </r>
    <r>
      <rPr>
        <sz val="10"/>
        <rFont val="Arial"/>
        <family val="0"/>
        <charset val="1"/>
      </rPr>
      <t xml:space="preserve">recurring</t>
    </r>
  </si>
  <si>
    <r>
      <rPr>
        <sz val="10"/>
        <rFont val="Noto Sans CJK SC"/>
        <family val="2"/>
      </rPr>
      <t xml:space="preserve">요율 출처별 상이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확인 필요</t>
    </r>
  </si>
  <si>
    <t xml:space="preserve">Buffer</t>
  </si>
  <si>
    <t xml:space="preserve">소셜 미디어</t>
  </si>
  <si>
    <t xml:space="preserve">Dub</t>
  </si>
  <si>
    <r>
      <rPr>
        <sz val="10"/>
        <rFont val="Noto Sans CJK SC"/>
        <family val="2"/>
      </rPr>
      <t xml:space="preserve">첫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개월 </t>
    </r>
    <r>
      <rPr>
        <sz val="10"/>
        <rFont val="Arial"/>
        <family val="0"/>
        <charset val="1"/>
      </rPr>
      <t xml:space="preserve">25%</t>
    </r>
  </si>
  <si>
    <t xml:space="preserve">브랜드 키워드 입찰 금지</t>
  </si>
  <si>
    <t xml:space="preserve">Publer</t>
  </si>
  <si>
    <r>
      <rPr>
        <sz val="10"/>
        <rFont val="Noto Sans CJK SC"/>
        <family val="2"/>
      </rPr>
      <t xml:space="preserve">신규 최대 </t>
    </r>
    <r>
      <rPr>
        <sz val="10"/>
        <rFont val="Arial"/>
        <family val="0"/>
        <charset val="1"/>
      </rPr>
      <t xml:space="preserve">70% / </t>
    </r>
    <r>
      <rPr>
        <sz val="10"/>
        <rFont val="Noto Sans CJK SC"/>
        <family val="2"/>
      </rPr>
      <t xml:space="preserve">반복 최대 </t>
    </r>
    <r>
      <rPr>
        <sz val="10"/>
        <rFont val="Arial"/>
        <family val="0"/>
        <charset val="1"/>
      </rPr>
      <t xml:space="preserve">30%</t>
    </r>
  </si>
  <si>
    <t xml:space="preserve">앰배서더 프로그램</t>
  </si>
  <si>
    <t xml:space="preserve">ContentStudio</t>
  </si>
  <si>
    <r>
      <rPr>
        <sz val="10"/>
        <rFont val="Arial"/>
        <family val="0"/>
        <charset val="1"/>
      </rPr>
      <t xml:space="preserve">30% recurring (</t>
    </r>
    <r>
      <rPr>
        <sz val="10"/>
        <rFont val="Noto Sans CJK SC"/>
        <family val="2"/>
      </rPr>
      <t xml:space="preserve">첫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</si>
  <si>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최소 지급 </t>
    </r>
    <r>
      <rPr>
        <sz val="10"/>
        <rFont val="Arial"/>
        <family val="0"/>
        <charset val="1"/>
      </rPr>
      <t xml:space="preserve">$200</t>
    </r>
  </si>
  <si>
    <t xml:space="preserve">Predis.ai</t>
  </si>
  <si>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평생 </t>
    </r>
    <r>
      <rPr>
        <sz val="10"/>
        <rFont val="Arial"/>
        <family val="0"/>
        <charset val="1"/>
      </rPr>
      <t xml:space="preserve">recurring</t>
    </r>
  </si>
  <si>
    <r>
      <rPr>
        <sz val="10"/>
        <rFont val="Noto Sans CJK SC"/>
        <family val="2"/>
      </rPr>
      <t xml:space="preserve">최소 지급 </t>
    </r>
    <r>
      <rPr>
        <sz val="10"/>
        <rFont val="Arial"/>
        <family val="0"/>
        <charset val="1"/>
      </rPr>
      <t xml:space="preserve">$50</t>
    </r>
  </si>
  <si>
    <t xml:space="preserve">Upfluence</t>
  </si>
  <si>
    <t xml:space="preserve">인플루언서</t>
  </si>
  <si>
    <t xml:space="preserve">Reditus</t>
  </si>
  <si>
    <r>
      <rPr>
        <sz val="10"/>
        <rFont val="Noto Sans CJK SC"/>
        <family val="2"/>
      </rPr>
      <t xml:space="preserve">데모당 </t>
    </r>
    <r>
      <rPr>
        <sz val="10"/>
        <rFont val="Arial"/>
        <family val="0"/>
        <charset val="1"/>
      </rPr>
      <t xml:space="preserve">$100 + </t>
    </r>
    <r>
      <rPr>
        <sz val="10"/>
        <rFont val="Noto Sans CJK SC"/>
        <family val="2"/>
      </rPr>
      <t xml:space="preserve">연간계약 </t>
    </r>
    <r>
      <rPr>
        <sz val="10"/>
        <rFont val="Arial"/>
        <family val="0"/>
        <charset val="1"/>
      </rPr>
      <t xml:space="preserve">10%</t>
    </r>
  </si>
  <si>
    <r>
      <rPr>
        <sz val="10"/>
        <rFont val="Arial"/>
        <family val="0"/>
        <charset val="1"/>
      </rPr>
      <t xml:space="preserve">B2B </t>
    </r>
    <r>
      <rPr>
        <sz val="10"/>
        <rFont val="Noto Sans CJK SC"/>
        <family val="2"/>
      </rPr>
      <t xml:space="preserve">데모 성사형</t>
    </r>
  </si>
  <si>
    <t xml:space="preserve">Heepsy</t>
  </si>
  <si>
    <r>
      <rPr>
        <sz val="10"/>
        <rFont val="Arial"/>
        <family val="0"/>
        <charset val="1"/>
      </rPr>
      <t xml:space="preserve">PayPal </t>
    </r>
    <r>
      <rPr>
        <sz val="10"/>
        <rFont val="Noto Sans CJK SC"/>
        <family val="2"/>
      </rPr>
      <t xml:space="preserve">월 지급</t>
    </r>
  </si>
  <si>
    <t xml:space="preserve">Influencity</t>
  </si>
  <si>
    <r>
      <rPr>
        <sz val="10"/>
        <rFont val="Arial"/>
        <family val="0"/>
        <charset val="1"/>
      </rPr>
      <t xml:space="preserve">20% </t>
    </r>
    <r>
      <rPr>
        <sz val="10"/>
        <rFont val="Noto Sans CJK SC"/>
        <family val="2"/>
      </rPr>
      <t xml:space="preserve">평생 </t>
    </r>
    <r>
      <rPr>
        <sz val="10"/>
        <rFont val="Arial"/>
        <family val="0"/>
        <charset val="1"/>
      </rPr>
      <t xml:space="preserve">recurring</t>
    </r>
  </si>
  <si>
    <r>
      <rPr>
        <sz val="10"/>
        <rFont val="Noto Sans CJK SC"/>
        <family val="2"/>
      </rPr>
      <t xml:space="preserve">분기별 지급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브랜드 키워드 광고 금지</t>
    </r>
  </si>
  <si>
    <t xml:space="preserve">Grin</t>
  </si>
  <si>
    <r>
      <rPr>
        <sz val="10"/>
        <rFont val="Noto Sans CJK SC"/>
        <family val="2"/>
      </rPr>
      <t xml:space="preserve">연간 라이선스의 </t>
    </r>
    <r>
      <rPr>
        <sz val="10"/>
        <rFont val="Arial"/>
        <family val="0"/>
        <charset val="1"/>
      </rPr>
      <t xml:space="preserve">10%</t>
    </r>
  </si>
  <si>
    <t xml:space="preserve">폼 추천 방식</t>
  </si>
  <si>
    <t xml:space="preserve">쿠키 아닌 리퍼럴 폼 제출 방식</t>
  </si>
  <si>
    <t xml:space="preserve">Tagger (Sprout Social)</t>
  </si>
  <si>
    <t xml:space="preserve">CJ Affiliate</t>
  </si>
  <si>
    <r>
      <rPr>
        <sz val="10"/>
        <rFont val="Arial"/>
        <family val="0"/>
        <charset val="1"/>
      </rPr>
      <t xml:space="preserve">$75 + 15% </t>
    </r>
    <r>
      <rPr>
        <sz val="10"/>
        <rFont val="Noto Sans CJK SC"/>
        <family val="2"/>
      </rPr>
      <t xml:space="preserve">반복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</si>
  <si>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30 (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</si>
  <si>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Sprout Social </t>
    </r>
    <r>
      <rPr>
        <sz val="10"/>
        <rFont val="Noto Sans CJK SC"/>
        <family val="2"/>
      </rPr>
      <t xml:space="preserve">프로그램 경유</t>
    </r>
  </si>
  <si>
    <t xml:space="preserve">AffiliateWP</t>
  </si>
  <si>
    <t xml:space="preserve">어필리에이트 관리</t>
  </si>
  <si>
    <r>
      <rPr>
        <sz val="10"/>
        <rFont val="Noto Sans CJK SC"/>
        <family val="2"/>
      </rPr>
      <t xml:space="preserve">판매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갱신 </t>
    </r>
    <r>
      <rPr>
        <sz val="10"/>
        <rFont val="Arial"/>
        <family val="0"/>
        <charset val="1"/>
      </rPr>
      <t xml:space="preserve">20%</t>
    </r>
  </si>
  <si>
    <r>
      <rPr>
        <sz val="10"/>
        <rFont val="Arial"/>
        <family val="0"/>
        <charset val="1"/>
      </rPr>
      <t xml:space="preserve">25% recurring (</t>
    </r>
    <r>
      <rPr>
        <sz val="10"/>
        <rFont val="Noto Sans CJK SC"/>
        <family val="2"/>
      </rPr>
      <t xml:space="preserve">첫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</si>
  <si>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t xml:space="preserve">Friends of Rewardful</t>
  </si>
  <si>
    <t xml:space="preserve">Referral Factory</t>
  </si>
  <si>
    <r>
      <rPr>
        <sz val="10"/>
        <rFont val="Arial"/>
        <family val="0"/>
        <charset val="1"/>
      </rPr>
      <t xml:space="preserve">40% (</t>
    </r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$1,920/</t>
    </r>
    <r>
      <rPr>
        <sz val="10"/>
        <rFont val="Noto Sans CJK SC"/>
        <family val="2"/>
      </rPr>
      <t xml:space="preserve">고객</t>
    </r>
    <r>
      <rPr>
        <sz val="10"/>
        <rFont val="Arial"/>
        <family val="0"/>
        <charset val="1"/>
      </rPr>
      <t xml:space="preserve">)</t>
    </r>
  </si>
  <si>
    <t xml:space="preserve">유료 전환 시에만 지급</t>
  </si>
  <si>
    <t xml:space="preserve">Viral Loops</t>
  </si>
  <si>
    <t xml:space="preserve">30% recurring</t>
  </si>
  <si>
    <t xml:space="preserve">세부 조건 미공개</t>
  </si>
  <si>
    <t xml:space="preserve">DistroKid</t>
  </si>
  <si>
    <t xml:space="preserve">음악</t>
  </si>
  <si>
    <t xml:space="preserve">Impact / Creator.co</t>
  </si>
  <si>
    <r>
      <rPr>
        <sz val="10"/>
        <rFont val="Noto Sans CJK SC"/>
        <family val="2"/>
      </rPr>
      <t xml:space="preserve">확인 필요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신청 후 공개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</si>
  <si>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회원 추천은 유료가입당 </t>
    </r>
    <r>
      <rPr>
        <sz val="10"/>
        <rFont val="Arial"/>
        <family val="0"/>
        <charset val="1"/>
      </rPr>
      <t xml:space="preserve">$10 </t>
    </r>
    <r>
      <rPr>
        <sz val="10"/>
        <rFont val="Noto Sans CJK SC"/>
        <family val="2"/>
      </rPr>
      <t xml:space="preserve">별도</t>
    </r>
  </si>
  <si>
    <t xml:space="preserve">Fathom</t>
  </si>
  <si>
    <r>
      <rPr>
        <sz val="10"/>
        <rFont val="Noto Sans CJK SC"/>
        <family val="2"/>
      </rPr>
      <t xml:space="preserve">확인 필요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유료 전환 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</si>
  <si>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Growth Partner </t>
    </r>
    <r>
      <rPr>
        <sz val="10"/>
        <rFont val="Noto Sans CJK SC"/>
        <family val="2"/>
      </rPr>
      <t xml:space="preserve">프로그램</t>
    </r>
  </si>
  <si>
    <t xml:space="preserve">Fyxer</t>
  </si>
  <si>
    <r>
      <rPr>
        <sz val="10"/>
        <rFont val="Noto Sans CJK SC"/>
        <family val="2"/>
      </rPr>
      <t xml:space="preserve">첫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개월 </t>
    </r>
    <r>
      <rPr>
        <sz val="10"/>
        <rFont val="Arial"/>
        <family val="0"/>
        <charset val="1"/>
      </rPr>
      <t xml:space="preserve">30% recurring</t>
    </r>
  </si>
  <si>
    <t xml:space="preserve">Teal</t>
  </si>
  <si>
    <t xml:space="preserve">커리어</t>
  </si>
  <si>
    <t xml:space="preserve">ShareASale</t>
  </si>
  <si>
    <r>
      <rPr>
        <sz val="10"/>
        <rFont val="Arial"/>
        <family val="0"/>
        <charset val="1"/>
      </rPr>
      <t xml:space="preserve">Teal+ </t>
    </r>
    <r>
      <rPr>
        <sz val="10"/>
        <rFont val="Noto Sans CJK SC"/>
        <family val="2"/>
      </rPr>
      <t xml:space="preserve">업그레이드당 </t>
    </r>
    <r>
      <rPr>
        <sz val="10"/>
        <rFont val="Arial"/>
        <family val="0"/>
        <charset val="1"/>
      </rPr>
      <t xml:space="preserve">$20</t>
    </r>
  </si>
  <si>
    <r>
      <rPr>
        <sz val="10"/>
        <rFont val="Noto Sans CJK SC"/>
        <family val="2"/>
      </rPr>
      <t xml:space="preserve">최소 </t>
    </r>
    <r>
      <rPr>
        <sz val="10"/>
        <rFont val="Arial"/>
        <family val="0"/>
        <charset val="1"/>
      </rPr>
      <t xml:space="preserve">$50 </t>
    </r>
    <r>
      <rPr>
        <sz val="10"/>
        <rFont val="Noto Sans CJK SC"/>
        <family val="2"/>
      </rPr>
      <t xml:space="preserve">출금</t>
    </r>
  </si>
  <si>
    <t xml:space="preserve">중간</t>
  </si>
  <si>
    <t xml:space="preserve">GetResponse</t>
  </si>
  <si>
    <t xml:space="preserve">N</t>
  </si>
  <si>
    <r>
      <rPr>
        <sz val="10"/>
        <rFont val="Arial"/>
        <family val="0"/>
        <charset val="1"/>
      </rPr>
      <t xml:space="preserve">40~60% recurring (</t>
    </r>
    <r>
      <rPr>
        <sz val="10"/>
        <rFont val="Noto Sans CJK SC"/>
        <family val="2"/>
      </rPr>
      <t xml:space="preserve">첫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티어제</t>
    </r>
    <r>
      <rPr>
        <sz val="10"/>
        <rFont val="Arial"/>
        <family val="0"/>
        <charset val="1"/>
      </rPr>
      <t xml:space="preserve">)</t>
    </r>
  </si>
  <si>
    <t xml:space="preserve">이메일 툴 중 최고 요율급</t>
  </si>
  <si>
    <r>
      <rPr>
        <sz val="10"/>
        <rFont val="Arial"/>
        <family val="0"/>
        <charset val="1"/>
      </rPr>
      <t xml:space="preserve">Kit (</t>
    </r>
    <r>
      <rPr>
        <sz val="10"/>
        <rFont val="Noto Sans CJK SC"/>
        <family val="2"/>
      </rPr>
      <t xml:space="preserve">구 </t>
    </r>
    <r>
      <rPr>
        <sz val="10"/>
        <rFont val="Arial"/>
        <family val="0"/>
        <charset val="1"/>
      </rPr>
      <t xml:space="preserve">ConvertKit)</t>
    </r>
  </si>
  <si>
    <t xml:space="preserve">LinkMink</t>
  </si>
  <si>
    <r>
      <rPr>
        <sz val="10"/>
        <rFont val="Arial"/>
        <family val="0"/>
        <charset val="1"/>
      </rPr>
      <t xml:space="preserve">30% recurring (24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</si>
  <si>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t xml:space="preserve">크리에이터 타겟</t>
  </si>
  <si>
    <t xml:space="preserve">Brevo</t>
  </si>
  <si>
    <r>
      <rPr>
        <sz val="10"/>
        <rFont val="Noto Sans CJK SC"/>
        <family val="2"/>
      </rPr>
      <t xml:space="preserve">무료가입 €</t>
    </r>
    <r>
      <rPr>
        <sz val="10"/>
        <rFont val="Arial"/>
        <family val="0"/>
        <charset val="1"/>
      </rPr>
      <t xml:space="preserve">5 + </t>
    </r>
    <r>
      <rPr>
        <sz val="10"/>
        <rFont val="Noto Sans CJK SC"/>
        <family val="2"/>
      </rPr>
      <t xml:space="preserve">유료전환 €</t>
    </r>
    <r>
      <rPr>
        <sz val="10"/>
        <rFont val="Arial"/>
        <family val="0"/>
        <charset val="1"/>
      </rPr>
      <t xml:space="preserve">100</t>
    </r>
  </si>
  <si>
    <r>
      <rPr>
        <sz val="10"/>
        <rFont val="Arial"/>
        <family val="0"/>
        <charset val="1"/>
      </rPr>
      <t xml:space="preserve">CPL+CPA </t>
    </r>
    <r>
      <rPr>
        <sz val="10"/>
        <rFont val="Noto Sans CJK SC"/>
        <family val="2"/>
      </rPr>
      <t xml:space="preserve">고정 보상형</t>
    </r>
  </si>
  <si>
    <t xml:space="preserve">Moosend</t>
  </si>
  <si>
    <r>
      <rPr>
        <sz val="10"/>
        <rFont val="Arial"/>
        <family val="0"/>
        <charset val="1"/>
      </rPr>
      <t xml:space="preserve">30~40% recurring (</t>
    </r>
    <r>
      <rPr>
        <sz val="10"/>
        <rFont val="Noto Sans CJK SC"/>
        <family val="2"/>
      </rPr>
      <t xml:space="preserve">티어제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</si>
  <si>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90 (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)</t>
    </r>
  </si>
  <si>
    <t xml:space="preserve">AWeber</t>
  </si>
  <si>
    <t xml:space="preserve">In-house / CJ</t>
  </si>
  <si>
    <r>
      <rPr>
        <sz val="10"/>
        <rFont val="Arial"/>
        <family val="0"/>
        <charset val="1"/>
      </rPr>
      <t xml:space="preserve">30~50% recurring (</t>
    </r>
    <r>
      <rPr>
        <sz val="10"/>
        <rFont val="Noto Sans CJK SC"/>
        <family val="2"/>
      </rPr>
      <t xml:space="preserve">티어제</t>
    </r>
    <r>
      <rPr>
        <sz val="10"/>
        <rFont val="Arial"/>
        <family val="0"/>
        <charset val="1"/>
      </rPr>
      <t xml:space="preserve">)</t>
    </r>
  </si>
  <si>
    <t xml:space="preserve">Systeme.io</t>
  </si>
  <si>
    <r>
      <rPr>
        <sz val="10"/>
        <rFont val="Noto Sans CJK SC"/>
        <family val="2"/>
      </rPr>
      <t xml:space="preserve">퍼널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이메일</t>
    </r>
  </si>
  <si>
    <t xml:space="preserve">60% lifetime recurring</t>
  </si>
  <si>
    <r>
      <rPr>
        <sz val="10"/>
        <rFont val="Noto Sans CJK SC"/>
        <family val="2"/>
      </rPr>
      <t xml:space="preserve">평생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계정 태깅</t>
    </r>
    <r>
      <rPr>
        <sz val="10"/>
        <rFont val="Arial"/>
        <family val="0"/>
        <charset val="1"/>
      </rPr>
      <t xml:space="preserve">)</t>
    </r>
  </si>
  <si>
    <t xml:space="preserve">무료계정만 있으면 참여 가능</t>
  </si>
  <si>
    <t xml:space="preserve">Omnisend</t>
  </si>
  <si>
    <r>
      <rPr>
        <sz val="10"/>
        <rFont val="Arial"/>
        <family val="0"/>
        <charset val="1"/>
      </rPr>
      <t xml:space="preserve">20% recurring (</t>
    </r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</si>
  <si>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t xml:space="preserve">이커머스 이메일 특화</t>
  </si>
  <si>
    <t xml:space="preserve">MailerLite</t>
  </si>
  <si>
    <t xml:space="preserve">Trackdesk</t>
  </si>
  <si>
    <t xml:space="preserve">30% lifetime recurring</t>
  </si>
  <si>
    <t xml:space="preserve">상한 없음</t>
  </si>
  <si>
    <t xml:space="preserve">Frase</t>
  </si>
  <si>
    <r>
      <rPr>
        <sz val="10"/>
        <rFont val="Arial"/>
        <family val="0"/>
        <charset val="1"/>
      </rPr>
      <t xml:space="preserve">30% recurring (12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</si>
  <si>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최소 지급 </t>
    </r>
    <r>
      <rPr>
        <sz val="10"/>
        <rFont val="Arial"/>
        <family val="0"/>
        <charset val="1"/>
      </rPr>
      <t xml:space="preserve">$100</t>
    </r>
  </si>
  <si>
    <t xml:space="preserve">SE Ranking</t>
  </si>
  <si>
    <t xml:space="preserve">Mangools</t>
  </si>
  <si>
    <t xml:space="preserve">25~35% lifetime recurring</t>
  </si>
  <si>
    <r>
      <rPr>
        <sz val="10"/>
        <rFont val="Noto Sans CJK SC"/>
        <family val="2"/>
      </rPr>
      <t xml:space="preserve">승인 절차 없음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최소 지급 </t>
    </r>
    <r>
      <rPr>
        <sz val="10"/>
        <rFont val="Arial"/>
        <family val="0"/>
        <charset val="1"/>
      </rPr>
      <t xml:space="preserve">$150</t>
    </r>
  </si>
  <si>
    <t xml:space="preserve">Serpstat</t>
  </si>
  <si>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30% recurring (</t>
    </r>
    <r>
      <rPr>
        <sz val="10"/>
        <rFont val="Noto Sans CJK SC"/>
        <family val="2"/>
      </rPr>
      <t xml:space="preserve">티어제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</si>
  <si>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15~30 (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)</t>
    </r>
  </si>
  <si>
    <t xml:space="preserve">Rytr</t>
  </si>
  <si>
    <r>
      <rPr>
        <sz val="10"/>
        <rFont val="Arial"/>
        <family val="0"/>
        <charset val="1"/>
      </rPr>
      <t xml:space="preserve">In-house (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</si>
  <si>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최소 지급 </t>
    </r>
    <r>
      <rPr>
        <sz val="10"/>
        <rFont val="Arial"/>
        <family val="0"/>
        <charset val="1"/>
      </rPr>
      <t xml:space="preserve">$100, </t>
    </r>
    <r>
      <rPr>
        <sz val="10"/>
        <rFont val="Noto Sans CJK SC"/>
        <family val="2"/>
      </rPr>
      <t xml:space="preserve">브랜드 키워드 입찰 금지</t>
    </r>
  </si>
  <si>
    <t xml:space="preserve">Copy.ai</t>
  </si>
  <si>
    <r>
      <rPr>
        <sz val="10"/>
        <rFont val="Arial"/>
        <family val="0"/>
        <charset val="1"/>
      </rPr>
      <t xml:space="preserve">20% recurring (12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)</t>
    </r>
  </si>
  <si>
    <t xml:space="preserve">엔터프라이즈 전환 후 조건 변동 가능</t>
  </si>
  <si>
    <t xml:space="preserve">Descript</t>
  </si>
  <si>
    <r>
      <rPr>
        <sz val="10"/>
        <rFont val="Noto Sans CJK SC"/>
        <family val="2"/>
      </rPr>
      <t xml:space="preserve">신규 구독자당 </t>
    </r>
    <r>
      <rPr>
        <sz val="10"/>
        <rFont val="Arial"/>
        <family val="0"/>
        <charset val="1"/>
      </rPr>
      <t xml:space="preserve">$25</t>
    </r>
  </si>
  <si>
    <r>
      <rPr>
        <sz val="10"/>
        <rFont val="Noto Sans CJK SC"/>
        <family val="2"/>
      </rPr>
      <t xml:space="preserve">최근 </t>
    </r>
    <r>
      <rPr>
        <sz val="10"/>
        <rFont val="Arial"/>
        <family val="0"/>
        <charset val="1"/>
      </rPr>
      <t xml:space="preserve">PartnerStack</t>
    </r>
    <r>
      <rPr>
        <sz val="10"/>
        <rFont val="Noto Sans CJK SC"/>
        <family val="2"/>
      </rPr>
      <t xml:space="preserve">로 이전</t>
    </r>
  </si>
  <si>
    <t xml:space="preserve">ElevenLabs</t>
  </si>
  <si>
    <r>
      <rPr>
        <sz val="10"/>
        <rFont val="Arial"/>
        <family val="0"/>
        <charset val="1"/>
      </rPr>
      <t xml:space="preserve">22% (</t>
    </r>
    <r>
      <rPr>
        <sz val="10"/>
        <rFont val="Noto Sans CJK SC"/>
        <family val="2"/>
      </rPr>
      <t xml:space="preserve">첫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</si>
  <si>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음성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위 인지도</t>
    </r>
  </si>
  <si>
    <t xml:space="preserve">InVideo</t>
  </si>
  <si>
    <r>
      <rPr>
        <sz val="10"/>
        <rFont val="Noto Sans CJK SC"/>
        <family val="2"/>
      </rPr>
      <t xml:space="preserve">월간 </t>
    </r>
    <r>
      <rPr>
        <sz val="10"/>
        <rFont val="Arial"/>
        <family val="0"/>
        <charset val="1"/>
      </rPr>
      <t xml:space="preserve">50% / </t>
    </r>
    <r>
      <rPr>
        <sz val="10"/>
        <rFont val="Noto Sans CJK SC"/>
        <family val="2"/>
      </rPr>
      <t xml:space="preserve">연간 </t>
    </r>
    <r>
      <rPr>
        <sz val="10"/>
        <rFont val="Arial"/>
        <family val="0"/>
        <charset val="1"/>
      </rPr>
      <t xml:space="preserve">25% (</t>
    </r>
    <r>
      <rPr>
        <sz val="10"/>
        <rFont val="Noto Sans CJK SC"/>
        <family val="2"/>
      </rPr>
      <t xml:space="preserve">첫 결제만</t>
    </r>
    <r>
      <rPr>
        <sz val="10"/>
        <rFont val="Arial"/>
        <family val="0"/>
        <charset val="1"/>
      </rPr>
      <t xml:space="preserve">)</t>
    </r>
  </si>
  <si>
    <t xml:space="preserve">일회성 커미션</t>
  </si>
  <si>
    <t xml:space="preserve">Pictory</t>
  </si>
  <si>
    <r>
      <rPr>
        <sz val="10"/>
        <rFont val="Arial"/>
        <family val="0"/>
        <charset val="1"/>
      </rPr>
      <t xml:space="preserve">FirstPromoter (</t>
    </r>
    <r>
      <rPr>
        <sz val="10"/>
        <rFont val="Noto Sans CJK SC"/>
        <family val="2"/>
      </rPr>
      <t xml:space="preserve">추정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</si>
  <si>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50% recurring</t>
    </r>
  </si>
  <si>
    <t xml:space="preserve">Bluehost</t>
  </si>
  <si>
    <r>
      <rPr>
        <sz val="10"/>
        <rFont val="Arial"/>
        <family val="0"/>
        <charset val="1"/>
      </rPr>
      <t xml:space="preserve">$65/</t>
    </r>
    <r>
      <rPr>
        <sz val="10"/>
        <rFont val="Noto Sans CJK SC"/>
        <family val="2"/>
      </rPr>
      <t xml:space="preserve">판매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볼륨별 협상 가능</t>
    </r>
    <r>
      <rPr>
        <sz val="10"/>
        <rFont val="Arial"/>
        <family val="0"/>
        <charset val="1"/>
      </rPr>
      <t xml:space="preserve">)</t>
    </r>
  </si>
  <si>
    <t xml:space="preserve">호스팅 클래식 고단가</t>
  </si>
  <si>
    <t xml:space="preserve">Hostinger</t>
  </si>
  <si>
    <r>
      <rPr>
        <sz val="10"/>
        <rFont val="Arial"/>
        <family val="0"/>
        <charset val="1"/>
      </rPr>
      <t xml:space="preserve">60%/</t>
    </r>
    <r>
      <rPr>
        <sz val="10"/>
        <rFont val="Noto Sans CJK SC"/>
        <family val="2"/>
      </rPr>
      <t xml:space="preserve">판매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일회성</t>
    </r>
    <r>
      <rPr>
        <sz val="10"/>
        <rFont val="Arial"/>
        <family val="0"/>
        <charset val="1"/>
      </rPr>
      <t xml:space="preserve">)</t>
    </r>
  </si>
  <si>
    <t xml:space="preserve">Cloudways</t>
  </si>
  <si>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$125/</t>
    </r>
    <r>
      <rPr>
        <sz val="10"/>
        <rFont val="Noto Sans CJK SC"/>
        <family val="2"/>
      </rPr>
      <t xml:space="preserve">판매 또는 </t>
    </r>
    <r>
      <rPr>
        <sz val="10"/>
        <rFont val="Arial"/>
        <family val="0"/>
        <charset val="1"/>
      </rPr>
      <t xml:space="preserve">$30+7% lifetime</t>
    </r>
  </si>
  <si>
    <t xml:space="preserve">두 가지 모델 선택형</t>
  </si>
  <si>
    <t xml:space="preserve">Kinsta</t>
  </si>
  <si>
    <r>
      <rPr>
        <sz val="10"/>
        <rFont val="Arial"/>
        <family val="0"/>
        <charset val="1"/>
      </rPr>
      <t xml:space="preserve">$50~500/</t>
    </r>
    <r>
      <rPr>
        <sz val="10"/>
        <rFont val="Noto Sans CJK SC"/>
        <family val="2"/>
      </rPr>
      <t xml:space="preserve">가입 </t>
    </r>
    <r>
      <rPr>
        <sz val="10"/>
        <rFont val="Arial"/>
        <family val="0"/>
        <charset val="1"/>
      </rPr>
      <t xml:space="preserve">+ 10% lifetime</t>
    </r>
  </si>
  <si>
    <r>
      <rPr>
        <sz val="10"/>
        <rFont val="Noto Sans CJK SC"/>
        <family val="2"/>
      </rPr>
      <t xml:space="preserve">일시금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평생 리커링 조합</t>
    </r>
  </si>
  <si>
    <t xml:space="preserve">WP Engine</t>
  </si>
  <si>
    <t xml:space="preserve">ShareASale (Awin)</t>
  </si>
  <si>
    <r>
      <rPr>
        <sz val="10"/>
        <rFont val="Arial"/>
        <family val="0"/>
        <charset val="1"/>
      </rPr>
      <t xml:space="preserve">$200 </t>
    </r>
    <r>
      <rPr>
        <sz val="10"/>
        <rFont val="Noto Sans CJK SC"/>
        <family val="2"/>
      </rPr>
      <t xml:space="preserve">또는 첫 달 결제액 중 큰 금액</t>
    </r>
  </si>
  <si>
    <r>
      <rPr>
        <sz val="10"/>
        <rFont val="Noto Sans CJK SC"/>
        <family val="2"/>
      </rPr>
      <t xml:space="preserve">쿠키 </t>
    </r>
    <r>
      <rPr>
        <sz val="10"/>
        <rFont val="Arial"/>
        <family val="0"/>
        <charset val="1"/>
      </rPr>
      <t xml:space="preserve">180</t>
    </r>
    <r>
      <rPr>
        <sz val="10"/>
        <rFont val="Noto Sans CJK SC"/>
        <family val="2"/>
      </rPr>
      <t xml:space="preserve">일 업계 최장급</t>
    </r>
  </si>
  <si>
    <t xml:space="preserve">Elementor</t>
  </si>
  <si>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50% (</t>
    </r>
    <r>
      <rPr>
        <sz val="10"/>
        <rFont val="Noto Sans CJK SC"/>
        <family val="2"/>
      </rPr>
      <t xml:space="preserve">첫 구매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일회성</t>
    </r>
    <r>
      <rPr>
        <sz val="10"/>
        <rFont val="Arial"/>
        <family val="0"/>
        <charset val="1"/>
      </rPr>
      <t xml:space="preserve">)</t>
    </r>
  </si>
  <si>
    <t xml:space="preserve">ClickFunnels</t>
  </si>
  <si>
    <t xml:space="preserve">심사제</t>
  </si>
  <si>
    <t xml:space="preserve">Teachable</t>
  </si>
  <si>
    <t xml:space="preserve">교육 플랫폼</t>
  </si>
  <si>
    <r>
      <rPr>
        <sz val="10"/>
        <rFont val="Arial"/>
        <family val="0"/>
        <charset val="1"/>
      </rPr>
      <t xml:space="preserve">30% recurring (</t>
    </r>
    <r>
      <rPr>
        <sz val="10"/>
        <rFont val="Noto Sans CJK SC"/>
        <family val="2"/>
      </rPr>
      <t xml:space="preserve">첫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</si>
  <si>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t xml:space="preserve">Thinkific</t>
  </si>
  <si>
    <r>
      <rPr>
        <sz val="10"/>
        <rFont val="Arial"/>
        <family val="0"/>
        <charset val="1"/>
      </rPr>
      <t xml:space="preserve">30% recurring (referral</t>
    </r>
    <r>
      <rPr>
        <sz val="10"/>
        <rFont val="Noto Sans CJK SC"/>
        <family val="2"/>
      </rPr>
      <t xml:space="preserve">당 최대 </t>
    </r>
    <r>
      <rPr>
        <sz val="10"/>
        <rFont val="Arial"/>
        <family val="0"/>
        <charset val="1"/>
      </rPr>
      <t xml:space="preserve">~$1,700/</t>
    </r>
    <r>
      <rPr>
        <sz val="10"/>
        <rFont val="Noto Sans CJK SC"/>
        <family val="2"/>
      </rPr>
      <t xml:space="preserve">년</t>
    </r>
    <r>
      <rPr>
        <sz val="10"/>
        <rFont val="Arial"/>
        <family val="0"/>
        <charset val="1"/>
      </rPr>
      <t xml:space="preserve">)</t>
    </r>
  </si>
  <si>
    <t xml:space="preserve">Podia</t>
  </si>
  <si>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20% recurring (12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</si>
  <si>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30%→20%</t>
    </r>
    <r>
      <rPr>
        <sz val="10"/>
        <rFont val="Noto Sans CJK SC"/>
        <family val="2"/>
      </rPr>
      <t xml:space="preserve">로 하향됨</t>
    </r>
  </si>
  <si>
    <t xml:space="preserve">monday.com</t>
  </si>
  <si>
    <r>
      <rPr>
        <sz val="10"/>
        <rFont val="Noto Sans CJK SC"/>
        <family val="2"/>
      </rPr>
      <t xml:space="preserve">첫해 매출의 약 </t>
    </r>
    <r>
      <rPr>
        <sz val="10"/>
        <rFont val="Arial"/>
        <family val="0"/>
        <charset val="1"/>
      </rPr>
      <t xml:space="preserve">25%</t>
    </r>
  </si>
  <si>
    <t xml:space="preserve">세부 조건 확인 필요</t>
  </si>
  <si>
    <t xml:space="preserve">Pipedrive</t>
  </si>
  <si>
    <r>
      <rPr>
        <sz val="10"/>
        <rFont val="Arial"/>
        <family val="0"/>
        <charset val="1"/>
      </rPr>
      <t xml:space="preserve">20~30% (</t>
    </r>
    <r>
      <rPr>
        <sz val="10"/>
        <rFont val="Noto Sans CJK SC"/>
        <family val="2"/>
      </rPr>
      <t xml:space="preserve">첫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등급제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</si>
  <si>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승인 </t>
    </r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사이트 심사</t>
    </r>
  </si>
  <si>
    <t xml:space="preserve">Fiverr</t>
  </si>
  <si>
    <t xml:space="preserve">프리랜서 마켓</t>
  </si>
  <si>
    <r>
      <rPr>
        <sz val="10"/>
        <rFont val="Noto Sans CJK SC"/>
        <family val="2"/>
      </rPr>
      <t xml:space="preserve">첫구매 </t>
    </r>
    <r>
      <rPr>
        <sz val="10"/>
        <rFont val="Arial"/>
        <family val="0"/>
        <charset val="1"/>
      </rPr>
      <t xml:space="preserve">25% (Pro 70%) + 12</t>
    </r>
    <r>
      <rPr>
        <sz val="10"/>
        <rFont val="Noto Sans CJK SC"/>
        <family val="2"/>
      </rPr>
      <t xml:space="preserve">개월 </t>
    </r>
    <r>
      <rPr>
        <sz val="10"/>
        <rFont val="Arial"/>
        <family val="0"/>
        <charset val="1"/>
      </rPr>
      <t xml:space="preserve">10%</t>
    </r>
  </si>
  <si>
    <r>
      <rPr>
        <sz val="10"/>
        <rFont val="Arial"/>
        <family val="0"/>
        <charset val="1"/>
      </rPr>
      <t xml:space="preserve">CPA </t>
    </r>
    <r>
      <rPr>
        <sz val="10"/>
        <rFont val="Noto Sans CJK SC"/>
        <family val="2"/>
      </rPr>
      <t xml:space="preserve">상한 </t>
    </r>
    <r>
      <rPr>
        <sz val="10"/>
        <rFont val="Arial"/>
        <family val="0"/>
        <charset val="1"/>
      </rPr>
      <t xml:space="preserve">$500</t>
    </r>
  </si>
  <si>
    <t xml:space="preserve">Planable</t>
  </si>
  <si>
    <r>
      <rPr>
        <sz val="10"/>
        <rFont val="Noto Sans CJK SC"/>
        <family val="2"/>
      </rPr>
      <t xml:space="preserve">첫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개월 </t>
    </r>
    <r>
      <rPr>
        <sz val="10"/>
        <rFont val="Arial"/>
        <family val="0"/>
        <charset val="1"/>
      </rPr>
      <t xml:space="preserve">15~25%</t>
    </r>
  </si>
  <si>
    <r>
      <rPr>
        <sz val="10"/>
        <rFont val="Arial"/>
        <family val="0"/>
        <charset val="1"/>
      </rPr>
      <t xml:space="preserve">PayPal </t>
    </r>
    <r>
      <rPr>
        <sz val="10"/>
        <rFont val="Noto Sans CJK SC"/>
        <family val="2"/>
      </rPr>
      <t xml:space="preserve">지급</t>
    </r>
  </si>
  <si>
    <t xml:space="preserve">낮음</t>
  </si>
  <si>
    <t xml:space="preserve">Notion</t>
  </si>
  <si>
    <r>
      <rPr>
        <sz val="10"/>
        <rFont val="Noto Sans CJK SC"/>
        <family val="2"/>
      </rPr>
      <t xml:space="preserve">있음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모집 중단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</si>
  <si>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가입당 최대 </t>
    </r>
    <r>
      <rPr>
        <sz val="10"/>
        <rFont val="Arial"/>
        <family val="0"/>
        <charset val="1"/>
      </rPr>
      <t xml:space="preserve">$50 + </t>
    </r>
    <r>
      <rPr>
        <sz val="10"/>
        <rFont val="Noto Sans CJK SC"/>
        <family val="2"/>
      </rPr>
      <t xml:space="preserve">첫해 </t>
    </r>
    <r>
      <rPr>
        <sz val="10"/>
        <rFont val="Arial"/>
        <family val="0"/>
        <charset val="1"/>
      </rPr>
      <t xml:space="preserve">20%</t>
    </r>
  </si>
  <si>
    <t xml:space="preserve">현재 신규 어필리에이트 모집 중단 — 재개 시 신청</t>
  </si>
  <si>
    <t xml:space="preserve">Kajabi</t>
  </si>
  <si>
    <r>
      <rPr>
        <sz val="10"/>
        <rFont val="Noto Sans CJK SC"/>
        <family val="2"/>
      </rPr>
      <t xml:space="preserve">있음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고객 전용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</si>
  <si>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10~20% recurring (</t>
    </r>
    <r>
      <rPr>
        <sz val="10"/>
        <rFont val="Noto Sans CJK SC"/>
        <family val="2"/>
      </rPr>
      <t xml:space="preserve">티어제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</si>
  <si>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현재 </t>
    </r>
    <r>
      <rPr>
        <sz val="10"/>
        <rFont val="Arial"/>
        <family val="0"/>
        <charset val="1"/>
      </rPr>
      <t xml:space="preserve">Kajabi </t>
    </r>
    <r>
      <rPr>
        <sz val="10"/>
        <rFont val="Noto Sans CJK SC"/>
        <family val="2"/>
      </rPr>
      <t xml:space="preserve">고객만 지원 가능</t>
    </r>
  </si>
  <si>
    <t xml:space="preserve">Brandwatch</t>
  </si>
  <si>
    <t xml:space="preserve">소셜 분석</t>
  </si>
  <si>
    <t xml:space="preserve">고객 추천만</t>
  </si>
  <si>
    <r>
      <rPr>
        <sz val="10"/>
        <rFont val="Noto Sans CJK SC"/>
        <family val="2"/>
      </rPr>
      <t xml:space="preserve">추천당 갱신 크레딧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현금 아님</t>
    </r>
    <r>
      <rPr>
        <sz val="10"/>
        <rFont val="Arial"/>
        <family val="0"/>
        <charset val="1"/>
      </rPr>
      <t xml:space="preserve">)</t>
    </r>
  </si>
  <si>
    <t xml:space="preserve">해당 없음</t>
  </si>
  <si>
    <t xml:space="preserve">프로그램 없음</t>
  </si>
  <si>
    <t xml:space="preserve">기존 고객 전용 크레딧 보상</t>
  </si>
  <si>
    <t xml:space="preserve">Traackr</t>
  </si>
  <si>
    <t xml:space="preserve">없음</t>
  </si>
  <si>
    <r>
      <rPr>
        <sz val="10"/>
        <rFont val="Noto Sans CJK SC"/>
        <family val="2"/>
      </rPr>
      <t xml:space="preserve">엔터프라이즈 플랫폼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공개 프로그램 없음</t>
    </r>
  </si>
  <si>
    <t xml:space="preserve">Featuring</t>
  </si>
  <si>
    <r>
      <rPr>
        <sz val="10"/>
        <rFont val="Noto Sans CJK SC"/>
        <family val="2"/>
      </rPr>
      <t xml:space="preserve">한국 플랫폼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공개 어필리에이트 미확인</t>
    </r>
  </si>
  <si>
    <t xml:space="preserve">Emplifi</t>
  </si>
  <si>
    <r>
      <rPr>
        <sz val="10"/>
        <rFont val="Noto Sans CJK SC"/>
        <family val="2"/>
      </rPr>
      <t xml:space="preserve">해당 없음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파트너만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</si>
  <si>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에이전시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기술 파트너만 운영</t>
    </r>
  </si>
  <si>
    <t xml:space="preserve">Clearscope</t>
  </si>
  <si>
    <t xml:space="preserve">공개 제휴 프로그램 없음</t>
  </si>
  <si>
    <t xml:space="preserve">Writer</t>
  </si>
  <si>
    <t xml:space="preserve">엔터프라이즈 파트너만 운영</t>
  </si>
  <si>
    <t xml:space="preserve">Suno AI</t>
  </si>
  <si>
    <t xml:space="preserve">크레딧 리퍼럴만</t>
  </si>
  <si>
    <t xml:space="preserve">현금 제휴 없음</t>
  </si>
  <si>
    <t xml:space="preserve">Midjourney</t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</si>
  <si>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이미지</t>
    </r>
  </si>
  <si>
    <t xml:space="preserve">공식 프로그램 없음</t>
  </si>
  <si>
    <t xml:space="preserve">OpenAI (DALL·E/ChatGPT)</t>
  </si>
  <si>
    <r>
      <rPr>
        <sz val="10"/>
        <rFont val="Noto Sans CJK SC"/>
        <family val="2"/>
      </rPr>
      <t xml:space="preserve">공식 프로그램 없음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사칭 사이트 주의</t>
    </r>
  </si>
  <si>
    <t xml:space="preserve">Veo</t>
  </si>
  <si>
    <r>
      <rPr>
        <sz val="10"/>
        <rFont val="Noto Sans CJK SC"/>
        <family val="2"/>
      </rPr>
      <t xml:space="preserve">프로그램 정보 미확인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직접 문의 필요</t>
    </r>
  </si>
  <si>
    <r>
      <rPr>
        <b val="true"/>
        <sz val="14"/>
        <color rgb="FF312E81"/>
        <rFont val="Arial"/>
        <family val="0"/>
        <charset val="1"/>
      </rPr>
      <t xml:space="preserve">Success Gravity — </t>
    </r>
    <r>
      <rPr>
        <b val="true"/>
        <sz val="14"/>
        <color rgb="FF312E81"/>
        <rFont val="Noto Sans CJK SC"/>
        <family val="2"/>
      </rPr>
      <t xml:space="preserve">어필리에이트 신청 트래커 사용법</t>
    </r>
  </si>
  <si>
    <r>
      <rPr>
        <b val="true"/>
        <sz val="11"/>
        <color rgb="FF000000"/>
        <rFont val="Arial"/>
        <family val="0"/>
        <charset val="1"/>
      </rPr>
      <t xml:space="preserve">1. </t>
    </r>
    <r>
      <rPr>
        <b val="true"/>
        <sz val="11"/>
        <color rgb="FF000000"/>
        <rFont val="Noto Sans CJK SC"/>
        <family val="2"/>
      </rPr>
      <t xml:space="preserve">사용 순서</t>
    </r>
  </si>
  <si>
    <r>
      <rPr>
        <sz val="10"/>
        <color rgb="FF000000"/>
        <rFont val="Arial"/>
        <family val="0"/>
        <charset val="1"/>
      </rPr>
      <t xml:space="preserve">① '</t>
    </r>
    <r>
      <rPr>
        <sz val="10"/>
        <color rgb="FF000000"/>
        <rFont val="Noto Sans CJK SC"/>
        <family val="2"/>
      </rPr>
      <t xml:space="preserve">신청 트래커</t>
    </r>
    <r>
      <rPr>
        <sz val="10"/>
        <color rgb="FF000000"/>
        <rFont val="Arial"/>
        <family val="0"/>
        <charset val="1"/>
      </rPr>
      <t xml:space="preserve">' </t>
    </r>
    <r>
      <rPr>
        <sz val="10"/>
        <color rgb="FF000000"/>
        <rFont val="Noto Sans CJK SC"/>
        <family val="2"/>
      </rPr>
      <t xml:space="preserve">시트에서 우선순위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높음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부터 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신청 페이지 열기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클릭 → 신청</t>
    </r>
  </si>
  <si>
    <r>
      <rPr>
        <sz val="10"/>
        <color rgb="FF000000"/>
        <rFont val="Noto Sans CJK SC"/>
        <family val="2"/>
      </rPr>
      <t xml:space="preserve">② 신청하면 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신청 상태</t>
    </r>
    <r>
      <rPr>
        <sz val="10"/>
        <color rgb="FF000000"/>
        <rFont val="Arial"/>
        <family val="0"/>
        <charset val="1"/>
      </rPr>
      <t xml:space="preserve">]</t>
    </r>
    <r>
      <rPr>
        <sz val="10"/>
        <color rgb="FF000000"/>
        <rFont val="Noto Sans CJK SC"/>
        <family val="2"/>
      </rPr>
      <t xml:space="preserve">를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신청함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으로 바꾸고 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신청일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입력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Arial"/>
        <family val="0"/>
        <charset val="1"/>
      </rPr>
      <t xml:space="preserve">: 2026-07-21)</t>
    </r>
  </si>
  <si>
    <r>
      <rPr>
        <sz val="10"/>
        <color rgb="FF000000"/>
        <rFont val="Noto Sans CJK SC"/>
        <family val="2"/>
      </rPr>
      <t xml:space="preserve">③ 승인 메일이 오면 상태를 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승인됨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으로 바꾸고</t>
    </r>
    <r>
      <rPr>
        <sz val="10"/>
        <color rgb="FF000000"/>
        <rFont val="Arial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발급받은 트래킹 링크를 노란색 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내 어필리에이트 링크</t>
    </r>
    <r>
      <rPr>
        <sz val="10"/>
        <color rgb="FF000000"/>
        <rFont val="Arial"/>
        <family val="0"/>
        <charset val="1"/>
      </rPr>
      <t xml:space="preserve">] </t>
    </r>
    <r>
      <rPr>
        <sz val="10"/>
        <color rgb="FF000000"/>
        <rFont val="Noto Sans CJK SC"/>
        <family val="2"/>
      </rPr>
      <t xml:space="preserve">칸에 붙여넣기</t>
    </r>
  </si>
  <si>
    <r>
      <rPr>
        <sz val="10"/>
        <color rgb="FF000000"/>
        <rFont val="Noto Sans CJK SC"/>
        <family val="2"/>
      </rPr>
      <t xml:space="preserve">④ 링크가 채워지면 </t>
    </r>
    <r>
      <rPr>
        <sz val="10"/>
        <color rgb="FF000000"/>
        <rFont val="Arial"/>
        <family val="0"/>
        <charset val="1"/>
      </rPr>
      <t xml:space="preserve">Claude</t>
    </r>
    <r>
      <rPr>
        <sz val="10"/>
        <color rgb="FF000000"/>
        <rFont val="Noto Sans CJK SC"/>
        <family val="2"/>
      </rPr>
      <t xml:space="preserve">에게 시트를 공유 → 사이트의 해당 버튼 링크를 일괄 교체</t>
    </r>
  </si>
  <si>
    <r>
      <rPr>
        <b val="true"/>
        <sz val="11"/>
        <color rgb="FF000000"/>
        <rFont val="Arial"/>
        <family val="0"/>
        <charset val="1"/>
      </rPr>
      <t xml:space="preserve">2. </t>
    </r>
    <r>
      <rPr>
        <b val="true"/>
        <sz val="11"/>
        <color rgb="FF000000"/>
        <rFont val="Noto Sans CJK SC"/>
        <family val="2"/>
      </rPr>
      <t xml:space="preserve">입력하는 칸 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노란색</t>
    </r>
    <r>
      <rPr>
        <b val="true"/>
        <sz val="11"/>
        <color rgb="FF000000"/>
        <rFont val="Arial"/>
        <family val="0"/>
        <charset val="1"/>
      </rPr>
      <t xml:space="preserve">/</t>
    </r>
    <r>
      <rPr>
        <b val="true"/>
        <sz val="11"/>
        <color rgb="FF000000"/>
        <rFont val="Noto Sans CJK SC"/>
        <family val="2"/>
      </rPr>
      <t xml:space="preserve">주황 헤더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</si>
  <si>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신청 상태</t>
    </r>
    <r>
      <rPr>
        <sz val="10"/>
        <color rgb="FF000000"/>
        <rFont val="Arial"/>
        <family val="0"/>
        <charset val="1"/>
      </rPr>
      <t xml:space="preserve">] [</t>
    </r>
    <r>
      <rPr>
        <sz val="10"/>
        <color rgb="FF000000"/>
        <rFont val="Noto Sans CJK SC"/>
        <family val="2"/>
      </rPr>
      <t xml:space="preserve">신청일</t>
    </r>
    <r>
      <rPr>
        <sz val="10"/>
        <color rgb="FF000000"/>
        <rFont val="Arial"/>
        <family val="0"/>
        <charset val="1"/>
      </rPr>
      <t xml:space="preserve">] [</t>
    </r>
    <r>
      <rPr>
        <sz val="10"/>
        <color rgb="FF000000"/>
        <rFont val="Noto Sans CJK SC"/>
        <family val="2"/>
      </rPr>
      <t xml:space="preserve">내 어필리에이트 링크</t>
    </r>
    <r>
      <rPr>
        <sz val="10"/>
        <color rgb="FF000000"/>
        <rFont val="Arial"/>
        <family val="0"/>
        <charset val="1"/>
      </rPr>
      <t xml:space="preserve">] [</t>
    </r>
    <r>
      <rPr>
        <sz val="10"/>
        <color rgb="FF000000"/>
        <rFont val="Noto Sans CJK SC"/>
        <family val="2"/>
      </rPr>
      <t xml:space="preserve">메모</t>
    </r>
    <r>
      <rPr>
        <sz val="10"/>
        <color rgb="FF000000"/>
        <rFont val="Arial"/>
        <family val="0"/>
        <charset val="1"/>
      </rPr>
      <t xml:space="preserve">] — </t>
    </r>
    <r>
      <rPr>
        <sz val="10"/>
        <color rgb="FF000000"/>
        <rFont val="Noto Sans CJK SC"/>
        <family val="2"/>
      </rPr>
      <t xml:space="preserve">나머지 칸은 조사된 정보라 수정 불필요</t>
    </r>
  </si>
  <si>
    <r>
      <rPr>
        <sz val="10"/>
        <color rgb="FF000000"/>
        <rFont val="Noto Sans CJK SC"/>
        <family val="2"/>
      </rPr>
      <t xml:space="preserve">예시 행</t>
    </r>
    <r>
      <rPr>
        <sz val="10"/>
        <color rgb="FF000000"/>
        <rFont val="Arial"/>
        <family val="0"/>
        <charset val="1"/>
      </rPr>
      <t xml:space="preserve">: 1</t>
    </r>
    <r>
      <rPr>
        <sz val="10"/>
        <color rgb="FF000000"/>
        <rFont val="Noto Sans CJK SC"/>
        <family val="2"/>
      </rPr>
      <t xml:space="preserve">행의 </t>
    </r>
    <r>
      <rPr>
        <sz val="10"/>
        <color rgb="FF000000"/>
        <rFont val="Arial"/>
        <family val="0"/>
        <charset val="1"/>
      </rPr>
      <t xml:space="preserve">ActiveCampaign (</t>
    </r>
    <r>
      <rPr>
        <sz val="10"/>
        <color rgb="FF000000"/>
        <rFont val="Noto Sans CJK SC"/>
        <family val="2"/>
      </rPr>
      <t xml:space="preserve">이미 신청 완료 상태로 입력되어 있음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</si>
  <si>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Arial"/>
        <family val="0"/>
        <charset val="1"/>
      </rPr>
      <t xml:space="preserve">3. </t>
    </r>
    <r>
      <rPr>
        <b val="true"/>
        <sz val="11"/>
        <color rgb="FF000000"/>
        <rFont val="Noto Sans CJK SC"/>
        <family val="2"/>
      </rPr>
      <t xml:space="preserve">신청 시 공통 정보</t>
    </r>
  </si>
  <si>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신청 이메일</t>
    </r>
    <r>
      <rPr>
        <sz val="10"/>
        <color rgb="FF000000"/>
        <rFont val="Arial"/>
        <family val="0"/>
        <charset val="1"/>
      </rPr>
      <t xml:space="preserve">: apply@successgravity.com  · </t>
    </r>
    <r>
      <rPr>
        <sz val="10"/>
        <color rgb="FF000000"/>
        <rFont val="Noto Sans CJK SC"/>
        <family val="2"/>
      </rPr>
      <t xml:space="preserve">웹사이트</t>
    </r>
    <r>
      <rPr>
        <sz val="10"/>
        <color rgb="FF000000"/>
        <rFont val="Arial"/>
        <family val="0"/>
        <charset val="1"/>
      </rPr>
      <t xml:space="preserve">: https://successgravity.com</t>
    </r>
  </si>
  <si>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홍보 방법</t>
    </r>
    <r>
      <rPr>
        <sz val="10"/>
        <color rgb="FF000000"/>
        <rFont val="Arial"/>
        <family val="0"/>
        <charset val="1"/>
      </rPr>
      <t xml:space="preserve">(Promotion method): Review website / SEO content  · </t>
    </r>
    <r>
      <rPr>
        <sz val="10"/>
        <color rgb="FF000000"/>
        <rFont val="Noto Sans CJK SC"/>
        <family val="2"/>
      </rPr>
      <t xml:space="preserve">월 트래픽은 정직하게 기재</t>
    </r>
  </si>
  <si>
    <r>
      <rPr>
        <sz val="10"/>
        <color rgb="FF000000"/>
        <rFont val="Arial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미국 거주자는 </t>
    </r>
    <r>
      <rPr>
        <sz val="10"/>
        <color rgb="FF000000"/>
        <rFont val="Arial"/>
        <family val="0"/>
        <charset val="1"/>
      </rPr>
      <t xml:space="preserve">W-9 </t>
    </r>
    <r>
      <rPr>
        <sz val="10"/>
        <color rgb="FF000000"/>
        <rFont val="Noto Sans CJK SC"/>
        <family val="2"/>
      </rPr>
      <t xml:space="preserve">세금 양식 </t>
    </r>
    <r>
      <rPr>
        <sz val="10"/>
        <color rgb="FF000000"/>
        <rFont val="Arial"/>
        <family val="0"/>
        <charset val="1"/>
      </rPr>
      <t xml:space="preserve">+ PayPal </t>
    </r>
    <r>
      <rPr>
        <sz val="10"/>
        <color rgb="FF000000"/>
        <rFont val="Noto Sans CJK SC"/>
        <family val="2"/>
      </rPr>
      <t xml:space="preserve">또는 은행 계좌 필요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네트워크별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회</t>
    </r>
    <r>
      <rPr>
        <sz val="10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</si>
  <si>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000000"/>
        <rFont val="Arial"/>
        <family val="0"/>
        <charset val="1"/>
      </rPr>
      <t xml:space="preserve">4. </t>
    </r>
    <r>
      <rPr>
        <b val="true"/>
        <sz val="11"/>
        <color rgb="FF000000"/>
        <rFont val="Noto Sans CJK SC"/>
        <family val="2"/>
      </rPr>
      <t xml:space="preserve">네트워크 계정은 한 번만 만들면 됩니다</t>
    </r>
  </si>
  <si>
    <r>
      <rPr>
        <b val="true"/>
        <sz val="10"/>
        <color rgb="FF000000"/>
        <rFont val="Arial"/>
        <family val="0"/>
        <charset val="1"/>
      </rPr>
      <t xml:space="preserve">Impact (1</t>
    </r>
    <r>
      <rPr>
        <b val="true"/>
        <sz val="10"/>
        <color rgb="FF000000"/>
        <rFont val="Noto Sans CJK SC"/>
        <family val="2"/>
      </rPr>
      <t xml:space="preserve">계정 → 여러 프로그램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</si>
  <si>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Semrush, Shopify, Grammarly, HubSpot, Wix, Squarespace, WordPress.com, Hostinger, InVideo, Omnisend, DistroKid</t>
  </si>
  <si>
    <r>
      <rPr>
        <b val="true"/>
        <sz val="10"/>
        <color rgb="FF000000"/>
        <rFont val="Arial"/>
        <family val="0"/>
        <charset val="1"/>
      </rPr>
      <t xml:space="preserve">PartnerStack (1</t>
    </r>
    <r>
      <rPr>
        <b val="true"/>
        <sz val="10"/>
        <color rgb="FF000000"/>
        <rFont val="Noto Sans CJK SC"/>
        <family val="2"/>
      </rPr>
      <t xml:space="preserve">계정 → 여러 프로그램</t>
    </r>
    <r>
      <rPr>
        <b val="true"/>
        <sz val="10"/>
        <color rgb="FF000000"/>
        <rFont val="Arial"/>
        <family val="0"/>
        <charset val="1"/>
      </rPr>
      <t xml:space="preserve">)</t>
    </r>
  </si>
  <si>
    <t xml:space="preserve">ActiveCampaign, Jasper, Surfer SEO, ClickUp, Tidio, Murf, Gamma, Fathom, GetResponse, Brevo, Moosend, Copy.ai, Descript, ElevenLabs, Elementor, Teachable, Thinkific, monday.com, Pipedrive</t>
  </si>
  <si>
    <t xml:space="preserve">ShareASale/Awin</t>
  </si>
  <si>
    <t xml:space="preserve">WP Engine, Teal</t>
  </si>
  <si>
    <r>
      <rPr>
        <sz val="10"/>
        <color rgb="FF000000"/>
        <rFont val="Arial"/>
        <family val="0"/>
        <charset val="1"/>
      </rPr>
      <t xml:space="preserve">Bluehost, AWeber(</t>
    </r>
    <r>
      <rPr>
        <sz val="10"/>
        <color rgb="FF000000"/>
        <rFont val="Noto Sans CJK SC"/>
        <family val="2"/>
      </rPr>
      <t xml:space="preserve">옵션</t>
    </r>
    <r>
      <rPr>
        <sz val="10"/>
        <color rgb="FF000000"/>
        <rFont val="Arial"/>
        <family val="0"/>
        <charset val="1"/>
      </rPr>
      <t xml:space="preserve">), Sprout Social</t>
    </r>
  </si>
  <si>
    <r>
      <rPr>
        <b val="true"/>
        <sz val="10"/>
        <color rgb="FF000000"/>
        <rFont val="Noto Sans CJK SC"/>
        <family val="2"/>
      </rPr>
      <t xml:space="preserve">개별 가입 </t>
    </r>
    <r>
      <rPr>
        <b val="true"/>
        <sz val="10"/>
        <color rgb="FF000000"/>
        <rFont val="Arial"/>
        <family val="0"/>
        <charset val="1"/>
      </rPr>
      <t xml:space="preserve">(FirstPromoter/In-house </t>
    </r>
    <r>
      <rPr>
        <b val="true"/>
        <sz val="10"/>
        <color rgb="FF000000"/>
        <rFont val="Noto Sans CJK SC"/>
        <family val="2"/>
      </rPr>
      <t xml:space="preserve">등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</si>
  <si>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Mailmodo, Writesonic, ContentStudio, Influencity, Predis, CustomGPT, Frase, BrandWell </t>
    </r>
    <r>
      <rPr>
        <sz val="10"/>
        <color rgb="FF000000"/>
        <rFont val="Noto Sans CJK SC"/>
        <family val="2"/>
      </rPr>
      <t xml:space="preserve">등 — 각 신청 페이지에서 개별 가입</t>
    </r>
  </si>
  <si>
    <r>
      <rPr>
        <b val="true"/>
        <sz val="11"/>
        <color rgb="FF000000"/>
        <rFont val="Arial"/>
        <family val="0"/>
        <charset val="1"/>
      </rPr>
      <t xml:space="preserve">5. </t>
    </r>
    <r>
      <rPr>
        <b val="true"/>
        <sz val="11"/>
        <color rgb="FF000000"/>
        <rFont val="Noto Sans CJK SC"/>
        <family val="2"/>
      </rPr>
      <t xml:space="preserve">진행 현황 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자동 집계</t>
    </r>
    <r>
      <rPr>
        <b val="true"/>
        <sz val="11"/>
        <color rgb="FF000000"/>
        <rFont val="Arial"/>
        <family val="0"/>
        <charset val="1"/>
      </rPr>
      <t xml:space="preserve">)</t>
    </r>
  </si>
  <si>
    <t xml:space="preserve">전체 프로그램</t>
  </si>
  <si>
    <t xml:space="preserve">승인됨</t>
  </si>
  <si>
    <t xml:space="preserve">거절됨</t>
  </si>
  <si>
    <r>
      <rPr>
        <sz val="10"/>
        <color rgb="FF6B7280"/>
        <rFont val="Noto Sans CJK SC"/>
        <family val="2"/>
      </rPr>
      <t xml:space="preserve">※ 커미션</t>
    </r>
    <r>
      <rPr>
        <sz val="10"/>
        <color rgb="FF6B7280"/>
        <rFont val="Arial"/>
        <family val="0"/>
        <charset val="1"/>
      </rPr>
      <t xml:space="preserve">·</t>
    </r>
    <r>
      <rPr>
        <sz val="10"/>
        <color rgb="FF6B7280"/>
        <rFont val="Noto Sans CJK SC"/>
        <family val="2"/>
      </rPr>
      <t xml:space="preserve">쿠키 정보는 </t>
    </r>
    <r>
      <rPr>
        <sz val="10"/>
        <color rgb="FF6B7280"/>
        <rFont val="Arial"/>
        <family val="0"/>
        <charset val="1"/>
      </rPr>
      <t xml:space="preserve">2026-07-20 </t>
    </r>
    <r>
      <rPr>
        <sz val="10"/>
        <color rgb="FF6B7280"/>
        <rFont val="Noto Sans CJK SC"/>
        <family val="2"/>
      </rPr>
      <t xml:space="preserve">웹 조사 기준이며 변동될 수 있습니다</t>
    </r>
    <r>
      <rPr>
        <sz val="10"/>
        <color rgb="FF6B7280"/>
        <rFont val="Arial"/>
        <family val="0"/>
        <charset val="1"/>
      </rPr>
      <t xml:space="preserve">. '</t>
    </r>
    <r>
      <rPr>
        <sz val="10"/>
        <color rgb="FF6B7280"/>
        <rFont val="Noto Sans CJK SC"/>
        <family val="2"/>
      </rPr>
      <t xml:space="preserve">확인 필요</t>
    </r>
    <r>
      <rPr>
        <sz val="10"/>
        <color rgb="FF6B7280"/>
        <rFont val="Arial"/>
        <family val="0"/>
        <charset val="1"/>
      </rPr>
      <t xml:space="preserve">' </t>
    </r>
    <r>
      <rPr>
        <sz val="10"/>
        <color rgb="FF6B7280"/>
        <rFont val="Noto Sans CJK SC"/>
        <family val="2"/>
      </rPr>
      <t xml:space="preserve">항목은 신청 페이지에서 최종 확인하세요</t>
    </r>
    <r>
      <rPr>
        <sz val="10"/>
        <color rgb="FF6B728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</si>
</sst>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166534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u val="single"/>
      <sz val="10"/>
      <color rgb="FF4F46E5"/>
      <name val="Noto Sans CJK SC"/>
      <family val="2"/>
    </font>
    <font>
      <b val="true"/>
      <sz val="10"/>
      <color rgb="FF92400E"/>
      <name val="Noto Sans CJK SC"/>
      <family val="2"/>
    </font>
    <font>
      <b val="true"/>
      <sz val="10"/>
      <color rgb="FF6B7280"/>
      <name val="Noto Sans CJK SC"/>
      <family val="2"/>
    </font>
    <font>
      <b val="true"/>
      <sz val="14"/>
      <color rgb="FF312E81"/>
      <name val="Arial"/>
      <family val="0"/>
      <charset val="1"/>
    </font>
    <font>
      <b val="true"/>
      <sz val="14"/>
      <color rgb="FF312E81"/>
      <name val="Noto Sans CJK SC"/>
      <family val="2"/>
    </font>
    <font>
      <b val="true"/>
      <sz val="11"/>
      <color rgb="FF000000"/>
      <name val="Arial"/>
      <family val="0"/>
      <charset val="1"/>
    </font>
    <font>
      <b val="true"/>
      <sz val="11"/>
      <color rgb="FF00000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312E81"/>
      <name val="Arial"/>
      <family val="0"/>
      <charset val="1"/>
    </font>
    <font>
      <sz val="10"/>
      <color rgb="FF6B7280"/>
      <name val="Noto Sans CJK SC"/>
      <family val="2"/>
    </font>
    <font>
      <sz val="10"/>
      <color rgb="FF6B72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12E81"/>
        <bgColor rgb="FF333333"/>
      </patternFill>
    </fill>
    <fill>
      <patternFill patternType="solid">
        <fgColor rgb="FFB45309"/>
        <bgColor rgb="FF92400E"/>
      </patternFill>
    </fill>
    <fill>
      <patternFill patternType="solid">
        <fgColor rgb="FFDCFCE7"/>
        <bgColor rgb="FFF3F4F6"/>
      </patternFill>
    </fill>
    <fill>
      <patternFill patternType="solid">
        <fgColor rgb="FFFFF9C4"/>
        <bgColor rgb="FFFEF3C7"/>
      </patternFill>
    </fill>
    <fill>
      <patternFill patternType="solid">
        <fgColor rgb="FFFEF3C7"/>
        <bgColor rgb="FFFFF9C4"/>
      </patternFill>
    </fill>
    <fill>
      <patternFill patternType="solid">
        <fgColor rgb="FFF3F4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312E81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F46E5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E5E7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E5E7EB"/>
      <rgbColor rgb="FF808080"/>
      <rgbColor rgb="FF9999FF"/>
      <rgbColor rgb="FFB45309"/>
      <rgbColor rgb="FFFFF9C4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6EFCE"/>
      <rgbColor rgb="FFFFEB9C"/>
      <rgbColor rgb="FFFEF3C7"/>
      <rgbColor rgb="FFFF99CC"/>
      <rgbColor rgb="FFCC99FF"/>
      <rgbColor rgb="FFFFC7CE"/>
      <rgbColor rgb="FF4F46E5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2400E"/>
      <rgbColor rgb="FF993366"/>
      <rgbColor rgb="FF312E81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ctivecampaign.com/partners/affiliate" TargetMode="External"/><Relationship Id="rId2" Type="http://schemas.openxmlformats.org/officeDocument/2006/relationships/hyperlink" Target="https://www.mailmodo.com/affiliate/" TargetMode="External"/><Relationship Id="rId3" Type="http://schemas.openxmlformats.org/officeDocument/2006/relationships/hyperlink" Target="https://www.semrush.com/lp/affiliate-program/en/" TargetMode="External"/><Relationship Id="rId4" Type="http://schemas.openxmlformats.org/officeDocument/2006/relationships/hyperlink" Target="https://www.jasper.ai/partners" TargetMode="External"/><Relationship Id="rId5" Type="http://schemas.openxmlformats.org/officeDocument/2006/relationships/hyperlink" Target="https://www.shopify.com/affiliates" TargetMode="External"/><Relationship Id="rId6" Type="http://schemas.openxmlformats.org/officeDocument/2006/relationships/hyperlink" Target="https://www.grammarly.com/affiliates" TargetMode="External"/><Relationship Id="rId7" Type="http://schemas.openxmlformats.org/officeDocument/2006/relationships/hyperlink" Target="https://surferseo.com/affiliate-program/" TargetMode="External"/><Relationship Id="rId8" Type="http://schemas.openxmlformats.org/officeDocument/2006/relationships/hyperlink" Target="https://www.canva.com/help/canva-affiliate-marketing-program/" TargetMode="External"/><Relationship Id="rId9" Type="http://schemas.openxmlformats.org/officeDocument/2006/relationships/hyperlink" Target="https://www.hubspot.com/partners/affiliates" TargetMode="External"/><Relationship Id="rId10" Type="http://schemas.openxmlformats.org/officeDocument/2006/relationships/hyperlink" Target="https://www.wix.com/about/affiliates" TargetMode="External"/><Relationship Id="rId11" Type="http://schemas.openxmlformats.org/officeDocument/2006/relationships/hyperlink" Target="https://www.squarespace.com/affiliates" TargetMode="External"/><Relationship Id="rId12" Type="http://schemas.openxmlformats.org/officeDocument/2006/relationships/hyperlink" Target="https://automattic.com/affiliates/" TargetMode="External"/><Relationship Id="rId13" Type="http://schemas.openxmlformats.org/officeDocument/2006/relationships/hyperlink" Target="https://clickup.com/partners/affiliates" TargetMode="External"/><Relationship Id="rId14" Type="http://schemas.openxmlformats.org/officeDocument/2006/relationships/hyperlink" Target="https://www.tidio.com/partners/affiliate/" TargetMode="External"/><Relationship Id="rId15" Type="http://schemas.openxmlformats.org/officeDocument/2006/relationships/hyperlink" Target="https://www.synthesia.io/partners/affiliates" TargetMode="External"/><Relationship Id="rId16" Type="http://schemas.openxmlformats.org/officeDocument/2006/relationships/hyperlink" Target="https://www.aistudios.com/affiliate" TargetMode="External"/><Relationship Id="rId17" Type="http://schemas.openxmlformats.org/officeDocument/2006/relationships/hyperlink" Target="https://murf.ai/partner-with-us/affiliate" TargetMode="External"/><Relationship Id="rId18" Type="http://schemas.openxmlformats.org/officeDocument/2006/relationships/hyperlink" Target="https://affiliates.opus.pro/" TargetMode="External"/><Relationship Id="rId19" Type="http://schemas.openxmlformats.org/officeDocument/2006/relationships/hyperlink" Target="https://writesonic.com/affiliate" TargetMode="External"/><Relationship Id="rId20" Type="http://schemas.openxmlformats.org/officeDocument/2006/relationships/hyperlink" Target="https://brandwell.firstpromoter.com/" TargetMode="External"/><Relationship Id="rId21" Type="http://schemas.openxmlformats.org/officeDocument/2006/relationships/hyperlink" Target="https://gammaapp.partnerstack.com/?group=affiliates" TargetMode="External"/><Relationship Id="rId22" Type="http://schemas.openxmlformats.org/officeDocument/2006/relationships/hyperlink" Target="https://customgpt.firstpromoter.com/" TargetMode="External"/><Relationship Id="rId23" Type="http://schemas.openxmlformats.org/officeDocument/2006/relationships/hyperlink" Target="https://www.browse.ai/affiliate-program" TargetMode="External"/><Relationship Id="rId24" Type="http://schemas.openxmlformats.org/officeDocument/2006/relationships/hyperlink" Target="https://partners.dub.co/buffer/apply" TargetMode="External"/><Relationship Id="rId25" Type="http://schemas.openxmlformats.org/officeDocument/2006/relationships/hyperlink" Target="https://app.publer.io/ambassador" TargetMode="External"/><Relationship Id="rId26" Type="http://schemas.openxmlformats.org/officeDocument/2006/relationships/hyperlink" Target="https://contentstudio.firstpromoter.com/" TargetMode="External"/><Relationship Id="rId27" Type="http://schemas.openxmlformats.org/officeDocument/2006/relationships/hyperlink" Target="https://predis.firstpromoter.com/" TargetMode="External"/><Relationship Id="rId28" Type="http://schemas.openxmlformats.org/officeDocument/2006/relationships/hyperlink" Target="https://app.getreditus.com/marketplace/upfluence_inc" TargetMode="External"/><Relationship Id="rId29" Type="http://schemas.openxmlformats.org/officeDocument/2006/relationships/hyperlink" Target="https://www.heepsy.com/affiliates" TargetMode="External"/><Relationship Id="rId30" Type="http://schemas.openxmlformats.org/officeDocument/2006/relationships/hyperlink" Target="https://influencity.firstpromoter.com/" TargetMode="External"/><Relationship Id="rId31" Type="http://schemas.openxmlformats.org/officeDocument/2006/relationships/hyperlink" Target="https://grin.co/referral-partner-program/" TargetMode="External"/><Relationship Id="rId32" Type="http://schemas.openxmlformats.org/officeDocument/2006/relationships/hyperlink" Target="https://sproutsocial.com/partnership-program/" TargetMode="External"/><Relationship Id="rId33" Type="http://schemas.openxmlformats.org/officeDocument/2006/relationships/hyperlink" Target="https://affiliatewp.com/affiliate-signup/" TargetMode="External"/><Relationship Id="rId34" Type="http://schemas.openxmlformats.org/officeDocument/2006/relationships/hyperlink" Target="https://friends.rewardful.com/signup" TargetMode="External"/><Relationship Id="rId35" Type="http://schemas.openxmlformats.org/officeDocument/2006/relationships/hyperlink" Target="https://affiliates.referral-factory.com/" TargetMode="External"/><Relationship Id="rId36" Type="http://schemas.openxmlformats.org/officeDocument/2006/relationships/hyperlink" Target="https://viral-loops.com/affiliates" TargetMode="External"/><Relationship Id="rId37" Type="http://schemas.openxmlformats.org/officeDocument/2006/relationships/hyperlink" Target="https://distrokid.com/product/partners" TargetMode="External"/><Relationship Id="rId38" Type="http://schemas.openxmlformats.org/officeDocument/2006/relationships/hyperlink" Target="https://www.fathom.ai/program/growth-partner" TargetMode="External"/><Relationship Id="rId39" Type="http://schemas.openxmlformats.org/officeDocument/2006/relationships/hyperlink" Target="https://partners.dub.co/fyxer" TargetMode="External"/><Relationship Id="rId40" Type="http://schemas.openxmlformats.org/officeDocument/2006/relationships/hyperlink" Target="https://www.tealhq.com/partner/affiliate" TargetMode="External"/><Relationship Id="rId41" Type="http://schemas.openxmlformats.org/officeDocument/2006/relationships/hyperlink" Target="https://www.getresponse.com/affiliate-programs" TargetMode="External"/><Relationship Id="rId42" Type="http://schemas.openxmlformats.org/officeDocument/2006/relationships/hyperlink" Target="https://help.kit.com/en/articles/5982708-new-affiliate-program-faq" TargetMode="External"/><Relationship Id="rId43" Type="http://schemas.openxmlformats.org/officeDocument/2006/relationships/hyperlink" Target="https://www.brevo.com/partners/affiliates/" TargetMode="External"/><Relationship Id="rId44" Type="http://schemas.openxmlformats.org/officeDocument/2006/relationships/hyperlink" Target="https://moosend.com/affiliate-program/" TargetMode="External"/><Relationship Id="rId45" Type="http://schemas.openxmlformats.org/officeDocument/2006/relationships/hyperlink" Target="https://www.aweber.com/advocates.htm" TargetMode="External"/><Relationship Id="rId46" Type="http://schemas.openxmlformats.org/officeDocument/2006/relationships/hyperlink" Target="https://systeme.io/affiliate-program" TargetMode="External"/><Relationship Id="rId47" Type="http://schemas.openxmlformats.org/officeDocument/2006/relationships/hyperlink" Target="https://www.omnisend.com/affiliates/" TargetMode="External"/><Relationship Id="rId48" Type="http://schemas.openxmlformats.org/officeDocument/2006/relationships/hyperlink" Target="https://www.mailerlite.com/affiliate" TargetMode="External"/><Relationship Id="rId49" Type="http://schemas.openxmlformats.org/officeDocument/2006/relationships/hyperlink" Target="https://affiliates.frase.io/" TargetMode="External"/><Relationship Id="rId50" Type="http://schemas.openxmlformats.org/officeDocument/2006/relationships/hyperlink" Target="https://seranking.com/affiliate-program.html" TargetMode="External"/><Relationship Id="rId51" Type="http://schemas.openxmlformats.org/officeDocument/2006/relationships/hyperlink" Target="https://mangools.com/affiliate-program" TargetMode="External"/><Relationship Id="rId52" Type="http://schemas.openxmlformats.org/officeDocument/2006/relationships/hyperlink" Target="https://serpstat.com/site/referral/" TargetMode="External"/><Relationship Id="rId53" Type="http://schemas.openxmlformats.org/officeDocument/2006/relationships/hyperlink" Target="https://affiliates.rytr.me/signup" TargetMode="External"/><Relationship Id="rId54" Type="http://schemas.openxmlformats.org/officeDocument/2006/relationships/hyperlink" Target="https://affiliates.copy.ai/" TargetMode="External"/><Relationship Id="rId55" Type="http://schemas.openxmlformats.org/officeDocument/2006/relationships/hyperlink" Target="https://www.descript.com/affiliate" TargetMode="External"/><Relationship Id="rId56" Type="http://schemas.openxmlformats.org/officeDocument/2006/relationships/hyperlink" Target="https://elevenlabs.io/affiliates" TargetMode="External"/><Relationship Id="rId57" Type="http://schemas.openxmlformats.org/officeDocument/2006/relationships/hyperlink" Target="https://invideo.io/make/affiliate-program/" TargetMode="External"/><Relationship Id="rId58" Type="http://schemas.openxmlformats.org/officeDocument/2006/relationships/hyperlink" Target="https://pictory.ai/partnernow" TargetMode="External"/><Relationship Id="rId59" Type="http://schemas.openxmlformats.org/officeDocument/2006/relationships/hyperlink" Target="https://www.bluehost.com/affiliates" TargetMode="External"/><Relationship Id="rId60" Type="http://schemas.openxmlformats.org/officeDocument/2006/relationships/hyperlink" Target="https://www.hostinger.com/affiliates" TargetMode="External"/><Relationship Id="rId61" Type="http://schemas.openxmlformats.org/officeDocument/2006/relationships/hyperlink" Target="https://www.cloudways.com/en/web-hosting-affiliate-program.php" TargetMode="External"/><Relationship Id="rId62" Type="http://schemas.openxmlformats.org/officeDocument/2006/relationships/hyperlink" Target="https://kinsta.com/affiliates/" TargetMode="External"/><Relationship Id="rId63" Type="http://schemas.openxmlformats.org/officeDocument/2006/relationships/hyperlink" Target="https://wpengine.com/affiliate-program/" TargetMode="External"/><Relationship Id="rId64" Type="http://schemas.openxmlformats.org/officeDocument/2006/relationships/hyperlink" Target="https://elementor.com/affiliates/" TargetMode="External"/><Relationship Id="rId65" Type="http://schemas.openxmlformats.org/officeDocument/2006/relationships/hyperlink" Target="https://www.clickfunnels.com/affiliates" TargetMode="External"/><Relationship Id="rId66" Type="http://schemas.openxmlformats.org/officeDocument/2006/relationships/hyperlink" Target="https://www.teachable.com/partners" TargetMode="External"/><Relationship Id="rId67" Type="http://schemas.openxmlformats.org/officeDocument/2006/relationships/hyperlink" Target="https://www.thinkific.com/affiliates/" TargetMode="External"/><Relationship Id="rId68" Type="http://schemas.openxmlformats.org/officeDocument/2006/relationships/hyperlink" Target="https://www.podia.com/affiliates" TargetMode="External"/><Relationship Id="rId69" Type="http://schemas.openxmlformats.org/officeDocument/2006/relationships/hyperlink" Target="https://mondaycom.growsumo.com/?group=mbaffiliatesentryofficial" TargetMode="External"/><Relationship Id="rId70" Type="http://schemas.openxmlformats.org/officeDocument/2006/relationships/hyperlink" Target="https://www.pipedrive.com/en/affiliate-partnership" TargetMode="External"/><Relationship Id="rId71" Type="http://schemas.openxmlformats.org/officeDocument/2006/relationships/hyperlink" Target="https://www.fiverr.com/affiliates/signup" TargetMode="External"/><Relationship Id="rId72" Type="http://schemas.openxmlformats.org/officeDocument/2006/relationships/hyperlink" Target="https://ambassadors.planable.io/" TargetMode="External"/><Relationship Id="rId73" Type="http://schemas.openxmlformats.org/officeDocument/2006/relationships/hyperlink" Target="https://www.notion.com/affiliates" TargetMode="External"/><Relationship Id="rId74" Type="http://schemas.openxmlformats.org/officeDocument/2006/relationships/hyperlink" Target="https://kajabi.com/partners" TargetMode="External"/><Relationship Id="rId75" Type="http://schemas.openxmlformats.org/officeDocument/2006/relationships/hyperlink" Target="https://www.brandwatch.com/p/client-referral-program/" TargetMode="External"/><Relationship Id="rId76" Type="http://schemas.openxmlformats.org/officeDocument/2006/relationships/hyperlink" Target="https://emplifi.io/become-a-partner/" TargetMode="External"/><Relationship Id="rId77" Type="http://schemas.openxmlformats.org/officeDocument/2006/relationships/hyperlink" Target="https://writer.com/partners/" TargetMode="External"/><Relationship Id="rId78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34"/>
    <col collapsed="false" customWidth="true" hidden="false" outlineLevel="0" max="8" min="8" style="0" width="13"/>
    <col collapsed="false" customWidth="true" hidden="false" outlineLevel="0" max="9" min="9" style="0" width="34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38"/>
    <col collapsed="false" customWidth="true" hidden="false" outlineLevel="0" max="13" min="13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29.85" hidden="false" customHeight="false" outlineLevel="0" collapsed="false">
      <c r="A2" s="3" t="s">
        <v>13</v>
      </c>
      <c r="B2" s="4" t="s">
        <v>14</v>
      </c>
      <c r="C2" s="5" t="s">
        <v>15</v>
      </c>
      <c r="D2" s="6" t="s">
        <v>16</v>
      </c>
      <c r="E2" s="5" t="s">
        <v>17</v>
      </c>
      <c r="F2" s="4" t="s">
        <v>18</v>
      </c>
      <c r="G2" s="7" t="s">
        <v>19</v>
      </c>
      <c r="H2" s="6" t="s">
        <v>20</v>
      </c>
      <c r="I2" s="8" t="s">
        <v>21</v>
      </c>
      <c r="J2" s="9" t="s">
        <v>22</v>
      </c>
      <c r="K2" s="6" t="s">
        <v>23</v>
      </c>
      <c r="L2" s="10"/>
      <c r="M2" s="11" t="s">
        <v>24</v>
      </c>
    </row>
    <row r="3" customFormat="false" ht="29.85" hidden="false" customHeight="false" outlineLevel="0" collapsed="false">
      <c r="A3" s="3" t="s">
        <v>13</v>
      </c>
      <c r="B3" s="4" t="s">
        <v>25</v>
      </c>
      <c r="C3" s="5" t="s">
        <v>15</v>
      </c>
      <c r="D3" s="6" t="s">
        <v>16</v>
      </c>
      <c r="E3" s="5" t="s">
        <v>17</v>
      </c>
      <c r="F3" s="4" t="s">
        <v>26</v>
      </c>
      <c r="G3" s="7" t="s">
        <v>27</v>
      </c>
      <c r="H3" s="6" t="s">
        <v>28</v>
      </c>
      <c r="I3" s="8" t="s">
        <v>21</v>
      </c>
      <c r="J3" s="9" t="s">
        <v>29</v>
      </c>
      <c r="K3" s="6"/>
      <c r="L3" s="10"/>
      <c r="M3" s="11" t="s">
        <v>30</v>
      </c>
    </row>
    <row r="4" customFormat="false" ht="15" hidden="false" customHeight="false" outlineLevel="0" collapsed="false">
      <c r="A4" s="3" t="s">
        <v>13</v>
      </c>
      <c r="B4" s="4" t="s">
        <v>31</v>
      </c>
      <c r="C4" s="4" t="s">
        <v>32</v>
      </c>
      <c r="D4" s="6" t="s">
        <v>16</v>
      </c>
      <c r="E4" s="5" t="s">
        <v>17</v>
      </c>
      <c r="F4" s="4" t="s">
        <v>33</v>
      </c>
      <c r="G4" s="7" t="s">
        <v>34</v>
      </c>
      <c r="H4" s="6" t="s">
        <v>35</v>
      </c>
      <c r="I4" s="8" t="s">
        <v>21</v>
      </c>
      <c r="J4" s="9" t="s">
        <v>29</v>
      </c>
      <c r="K4" s="6"/>
      <c r="L4" s="10"/>
      <c r="M4" s="11" t="s">
        <v>36</v>
      </c>
    </row>
    <row r="5" customFormat="false" ht="29.85" hidden="false" customHeight="false" outlineLevel="0" collapsed="false">
      <c r="A5" s="3" t="s">
        <v>13</v>
      </c>
      <c r="B5" s="4" t="s">
        <v>37</v>
      </c>
      <c r="C5" s="4" t="s">
        <v>38</v>
      </c>
      <c r="D5" s="6" t="s">
        <v>16</v>
      </c>
      <c r="E5" s="5" t="s">
        <v>17</v>
      </c>
      <c r="F5" s="4" t="s">
        <v>18</v>
      </c>
      <c r="G5" s="7" t="s">
        <v>39</v>
      </c>
      <c r="H5" s="6" t="s">
        <v>40</v>
      </c>
      <c r="I5" s="8" t="s">
        <v>21</v>
      </c>
      <c r="J5" s="9" t="s">
        <v>29</v>
      </c>
      <c r="K5" s="6"/>
      <c r="L5" s="10"/>
      <c r="M5" s="11" t="s">
        <v>41</v>
      </c>
    </row>
    <row r="6" customFormat="false" ht="15" hidden="false" customHeight="false" outlineLevel="0" collapsed="false">
      <c r="A6" s="3" t="s">
        <v>13</v>
      </c>
      <c r="B6" s="4" t="s">
        <v>42</v>
      </c>
      <c r="C6" s="5" t="s">
        <v>43</v>
      </c>
      <c r="D6" s="6" t="s">
        <v>16</v>
      </c>
      <c r="E6" s="5" t="s">
        <v>17</v>
      </c>
      <c r="F6" s="4" t="s">
        <v>33</v>
      </c>
      <c r="G6" s="11" t="s">
        <v>44</v>
      </c>
      <c r="H6" s="6" t="s">
        <v>40</v>
      </c>
      <c r="I6" s="8" t="s">
        <v>21</v>
      </c>
      <c r="J6" s="9" t="s">
        <v>29</v>
      </c>
      <c r="K6" s="6"/>
      <c r="L6" s="10"/>
      <c r="M6" s="11" t="s">
        <v>45</v>
      </c>
    </row>
    <row r="7" customFormat="false" ht="15" hidden="false" customHeight="false" outlineLevel="0" collapsed="false">
      <c r="A7" s="3" t="s">
        <v>13</v>
      </c>
      <c r="B7" s="4" t="s">
        <v>46</v>
      </c>
      <c r="C7" s="4" t="s">
        <v>38</v>
      </c>
      <c r="D7" s="6" t="s">
        <v>16</v>
      </c>
      <c r="E7" s="5" t="s">
        <v>17</v>
      </c>
      <c r="F7" s="4" t="s">
        <v>33</v>
      </c>
      <c r="G7" s="11" t="s">
        <v>47</v>
      </c>
      <c r="H7" s="6" t="s">
        <v>20</v>
      </c>
      <c r="I7" s="8" t="s">
        <v>21</v>
      </c>
      <c r="J7" s="9" t="s">
        <v>29</v>
      </c>
      <c r="K7" s="6"/>
      <c r="L7" s="10"/>
      <c r="M7" s="11" t="s">
        <v>48</v>
      </c>
    </row>
    <row r="8" customFormat="false" ht="15" hidden="false" customHeight="false" outlineLevel="0" collapsed="false">
      <c r="A8" s="3" t="s">
        <v>13</v>
      </c>
      <c r="B8" s="4" t="s">
        <v>49</v>
      </c>
      <c r="C8" s="4" t="s">
        <v>32</v>
      </c>
      <c r="D8" s="6" t="s">
        <v>16</v>
      </c>
      <c r="E8" s="5" t="s">
        <v>17</v>
      </c>
      <c r="F8" s="4" t="s">
        <v>18</v>
      </c>
      <c r="G8" s="11" t="s">
        <v>50</v>
      </c>
      <c r="H8" s="6" t="s">
        <v>51</v>
      </c>
      <c r="I8" s="8" t="s">
        <v>21</v>
      </c>
      <c r="J8" s="9" t="s">
        <v>29</v>
      </c>
      <c r="K8" s="6"/>
      <c r="L8" s="10"/>
      <c r="M8" s="11" t="s">
        <v>52</v>
      </c>
    </row>
    <row r="9" customFormat="false" ht="29.85" hidden="false" customHeight="false" outlineLevel="0" collapsed="false">
      <c r="A9" s="3" t="s">
        <v>13</v>
      </c>
      <c r="B9" s="4" t="s">
        <v>53</v>
      </c>
      <c r="C9" s="5" t="s">
        <v>54</v>
      </c>
      <c r="D9" s="6" t="s">
        <v>16</v>
      </c>
      <c r="E9" s="5" t="s">
        <v>17</v>
      </c>
      <c r="F9" s="4" t="s">
        <v>55</v>
      </c>
      <c r="G9" s="11" t="s">
        <v>56</v>
      </c>
      <c r="H9" s="9" t="s">
        <v>57</v>
      </c>
      <c r="I9" s="8" t="s">
        <v>21</v>
      </c>
      <c r="J9" s="9" t="s">
        <v>29</v>
      </c>
      <c r="K9" s="6"/>
      <c r="L9" s="10"/>
      <c r="M9" s="11" t="s">
        <v>58</v>
      </c>
    </row>
    <row r="10" customFormat="false" ht="15" hidden="false" customHeight="false" outlineLevel="0" collapsed="false">
      <c r="A10" s="3" t="s">
        <v>13</v>
      </c>
      <c r="B10" s="4" t="s">
        <v>59</v>
      </c>
      <c r="C10" s="5" t="s">
        <v>60</v>
      </c>
      <c r="D10" s="6" t="s">
        <v>16</v>
      </c>
      <c r="E10" s="5" t="s">
        <v>17</v>
      </c>
      <c r="F10" s="4" t="s">
        <v>33</v>
      </c>
      <c r="G10" s="7" t="s">
        <v>61</v>
      </c>
      <c r="H10" s="6" t="s">
        <v>62</v>
      </c>
      <c r="I10" s="8" t="s">
        <v>21</v>
      </c>
      <c r="J10" s="9" t="s">
        <v>29</v>
      </c>
      <c r="K10" s="6"/>
      <c r="L10" s="10"/>
      <c r="M10" s="11" t="s">
        <v>63</v>
      </c>
    </row>
    <row r="11" customFormat="false" ht="15" hidden="false" customHeight="false" outlineLevel="0" collapsed="false">
      <c r="A11" s="3" t="s">
        <v>13</v>
      </c>
      <c r="B11" s="4" t="s">
        <v>64</v>
      </c>
      <c r="C11" s="5" t="s">
        <v>65</v>
      </c>
      <c r="D11" s="6" t="s">
        <v>16</v>
      </c>
      <c r="E11" s="5" t="s">
        <v>17</v>
      </c>
      <c r="F11" s="4" t="s">
        <v>33</v>
      </c>
      <c r="G11" s="7" t="s">
        <v>66</v>
      </c>
      <c r="H11" s="6" t="s">
        <v>40</v>
      </c>
      <c r="I11" s="8" t="s">
        <v>21</v>
      </c>
      <c r="J11" s="9" t="s">
        <v>29</v>
      </c>
      <c r="K11" s="6"/>
      <c r="L11" s="10"/>
      <c r="M11" s="11" t="s">
        <v>67</v>
      </c>
    </row>
    <row r="12" customFormat="false" ht="15" hidden="false" customHeight="false" outlineLevel="0" collapsed="false">
      <c r="A12" s="3" t="s">
        <v>13</v>
      </c>
      <c r="B12" s="4" t="s">
        <v>68</v>
      </c>
      <c r="C12" s="5" t="s">
        <v>65</v>
      </c>
      <c r="D12" s="6" t="s">
        <v>16</v>
      </c>
      <c r="E12" s="5" t="s">
        <v>17</v>
      </c>
      <c r="F12" s="4" t="s">
        <v>33</v>
      </c>
      <c r="G12" s="7" t="s">
        <v>69</v>
      </c>
      <c r="H12" s="6" t="s">
        <v>70</v>
      </c>
      <c r="I12" s="8" t="s">
        <v>21</v>
      </c>
      <c r="J12" s="9" t="s">
        <v>29</v>
      </c>
      <c r="K12" s="6"/>
      <c r="L12" s="10"/>
      <c r="M12" s="11" t="s">
        <v>71</v>
      </c>
    </row>
    <row r="13" customFormat="false" ht="15" hidden="false" customHeight="false" outlineLevel="0" collapsed="false">
      <c r="A13" s="3" t="s">
        <v>13</v>
      </c>
      <c r="B13" s="4" t="s">
        <v>72</v>
      </c>
      <c r="C13" s="5" t="s">
        <v>65</v>
      </c>
      <c r="D13" s="6" t="s">
        <v>16</v>
      </c>
      <c r="E13" s="5" t="s">
        <v>17</v>
      </c>
      <c r="F13" s="4" t="s">
        <v>33</v>
      </c>
      <c r="G13" s="11" t="s">
        <v>73</v>
      </c>
      <c r="H13" s="6" t="s">
        <v>40</v>
      </c>
      <c r="I13" s="8" t="s">
        <v>21</v>
      </c>
      <c r="J13" s="9" t="s">
        <v>29</v>
      </c>
      <c r="K13" s="6"/>
      <c r="L13" s="10"/>
      <c r="M13" s="7" t="s">
        <v>74</v>
      </c>
    </row>
    <row r="14" customFormat="false" ht="15" hidden="false" customHeight="false" outlineLevel="0" collapsed="false">
      <c r="A14" s="3" t="s">
        <v>13</v>
      </c>
      <c r="B14" s="4" t="s">
        <v>75</v>
      </c>
      <c r="C14" s="5" t="s">
        <v>76</v>
      </c>
      <c r="D14" s="6" t="s">
        <v>16</v>
      </c>
      <c r="E14" s="5" t="s">
        <v>17</v>
      </c>
      <c r="F14" s="4" t="s">
        <v>18</v>
      </c>
      <c r="G14" s="11" t="s">
        <v>77</v>
      </c>
      <c r="H14" s="6" t="s">
        <v>40</v>
      </c>
      <c r="I14" s="8" t="s">
        <v>21</v>
      </c>
      <c r="J14" s="9" t="s">
        <v>29</v>
      </c>
      <c r="K14" s="6"/>
      <c r="L14" s="10"/>
      <c r="M14" s="11" t="s">
        <v>78</v>
      </c>
    </row>
    <row r="15" customFormat="false" ht="15" hidden="false" customHeight="false" outlineLevel="0" collapsed="false">
      <c r="A15" s="3" t="s">
        <v>13</v>
      </c>
      <c r="B15" s="4" t="s">
        <v>79</v>
      </c>
      <c r="C15" s="5" t="s">
        <v>80</v>
      </c>
      <c r="D15" s="6" t="s">
        <v>16</v>
      </c>
      <c r="E15" s="5" t="s">
        <v>17</v>
      </c>
      <c r="F15" s="4" t="s">
        <v>18</v>
      </c>
      <c r="G15" s="11" t="s">
        <v>81</v>
      </c>
      <c r="H15" s="9" t="s">
        <v>57</v>
      </c>
      <c r="I15" s="8" t="s">
        <v>21</v>
      </c>
      <c r="J15" s="9" t="s">
        <v>29</v>
      </c>
      <c r="K15" s="6"/>
      <c r="L15" s="10"/>
      <c r="M15" s="7" t="s">
        <v>82</v>
      </c>
    </row>
    <row r="16" customFormat="false" ht="15" hidden="false" customHeight="false" outlineLevel="0" collapsed="false">
      <c r="A16" s="3" t="s">
        <v>13</v>
      </c>
      <c r="B16" s="4" t="s">
        <v>83</v>
      </c>
      <c r="C16" s="4" t="s">
        <v>84</v>
      </c>
      <c r="D16" s="6" t="s">
        <v>16</v>
      </c>
      <c r="E16" s="5" t="s">
        <v>17</v>
      </c>
      <c r="F16" s="4" t="s">
        <v>85</v>
      </c>
      <c r="G16" s="7" t="s">
        <v>86</v>
      </c>
      <c r="H16" s="6" t="s">
        <v>28</v>
      </c>
      <c r="I16" s="8" t="s">
        <v>21</v>
      </c>
      <c r="J16" s="9" t="s">
        <v>29</v>
      </c>
      <c r="K16" s="6"/>
      <c r="L16" s="10"/>
      <c r="M16" s="11" t="s">
        <v>87</v>
      </c>
    </row>
    <row r="17" customFormat="false" ht="15" hidden="false" customHeight="false" outlineLevel="0" collapsed="false">
      <c r="A17" s="3" t="s">
        <v>13</v>
      </c>
      <c r="B17" s="4" t="s">
        <v>88</v>
      </c>
      <c r="C17" s="4" t="s">
        <v>84</v>
      </c>
      <c r="D17" s="6" t="s">
        <v>16</v>
      </c>
      <c r="E17" s="5" t="s">
        <v>17</v>
      </c>
      <c r="F17" s="4" t="s">
        <v>89</v>
      </c>
      <c r="G17" s="7" t="s">
        <v>90</v>
      </c>
      <c r="H17" s="6" t="s">
        <v>28</v>
      </c>
      <c r="I17" s="8" t="s">
        <v>21</v>
      </c>
      <c r="J17" s="9" t="s">
        <v>29</v>
      </c>
      <c r="K17" s="6"/>
      <c r="L17" s="10"/>
      <c r="M17" s="11" t="s">
        <v>91</v>
      </c>
    </row>
    <row r="18" customFormat="false" ht="15" hidden="false" customHeight="false" outlineLevel="0" collapsed="false">
      <c r="A18" s="3" t="s">
        <v>13</v>
      </c>
      <c r="B18" s="4" t="s">
        <v>92</v>
      </c>
      <c r="C18" s="4" t="s">
        <v>84</v>
      </c>
      <c r="D18" s="6" t="s">
        <v>16</v>
      </c>
      <c r="E18" s="5" t="s">
        <v>17</v>
      </c>
      <c r="F18" s="4" t="s">
        <v>18</v>
      </c>
      <c r="G18" s="7" t="s">
        <v>93</v>
      </c>
      <c r="H18" s="6" t="s">
        <v>20</v>
      </c>
      <c r="I18" s="8" t="s">
        <v>21</v>
      </c>
      <c r="J18" s="9" t="s">
        <v>29</v>
      </c>
      <c r="K18" s="6"/>
      <c r="L18" s="10"/>
      <c r="M18" s="7"/>
    </row>
    <row r="19" customFormat="false" ht="15" hidden="false" customHeight="false" outlineLevel="0" collapsed="false">
      <c r="A19" s="3" t="s">
        <v>13</v>
      </c>
      <c r="B19" s="4" t="s">
        <v>94</v>
      </c>
      <c r="C19" s="4" t="s">
        <v>84</v>
      </c>
      <c r="D19" s="6" t="s">
        <v>16</v>
      </c>
      <c r="E19" s="5" t="s">
        <v>17</v>
      </c>
      <c r="F19" s="4" t="s">
        <v>85</v>
      </c>
      <c r="G19" s="7" t="s">
        <v>95</v>
      </c>
      <c r="H19" s="9" t="s">
        <v>57</v>
      </c>
      <c r="I19" s="8" t="s">
        <v>21</v>
      </c>
      <c r="J19" s="9" t="s">
        <v>29</v>
      </c>
      <c r="K19" s="6"/>
      <c r="L19" s="10"/>
      <c r="M19" s="11" t="s">
        <v>96</v>
      </c>
    </row>
    <row r="20" customFormat="false" ht="15" hidden="false" customHeight="false" outlineLevel="0" collapsed="false">
      <c r="A20" s="3" t="s">
        <v>13</v>
      </c>
      <c r="B20" s="4" t="s">
        <v>97</v>
      </c>
      <c r="C20" s="4" t="s">
        <v>38</v>
      </c>
      <c r="D20" s="6" t="s">
        <v>16</v>
      </c>
      <c r="E20" s="5" t="s">
        <v>17</v>
      </c>
      <c r="F20" s="4" t="s">
        <v>26</v>
      </c>
      <c r="G20" s="7" t="s">
        <v>98</v>
      </c>
      <c r="H20" s="6" t="s">
        <v>28</v>
      </c>
      <c r="I20" s="8" t="s">
        <v>21</v>
      </c>
      <c r="J20" s="9" t="s">
        <v>29</v>
      </c>
      <c r="K20" s="6"/>
      <c r="L20" s="10"/>
      <c r="M20" s="7" t="s">
        <v>99</v>
      </c>
    </row>
    <row r="21" customFormat="false" ht="15" hidden="false" customHeight="false" outlineLevel="0" collapsed="false">
      <c r="A21" s="3" t="s">
        <v>13</v>
      </c>
      <c r="B21" s="4" t="s">
        <v>100</v>
      </c>
      <c r="C21" s="4" t="s">
        <v>38</v>
      </c>
      <c r="D21" s="6" t="s">
        <v>16</v>
      </c>
      <c r="E21" s="5" t="s">
        <v>17</v>
      </c>
      <c r="F21" s="4" t="s">
        <v>26</v>
      </c>
      <c r="G21" s="11" t="s">
        <v>101</v>
      </c>
      <c r="H21" s="9" t="s">
        <v>57</v>
      </c>
      <c r="I21" s="8" t="s">
        <v>21</v>
      </c>
      <c r="J21" s="9" t="s">
        <v>29</v>
      </c>
      <c r="K21" s="6"/>
      <c r="L21" s="10"/>
      <c r="M21" s="11" t="s">
        <v>102</v>
      </c>
    </row>
    <row r="22" customFormat="false" ht="15" hidden="false" customHeight="false" outlineLevel="0" collapsed="false">
      <c r="A22" s="3" t="s">
        <v>13</v>
      </c>
      <c r="B22" s="4" t="s">
        <v>103</v>
      </c>
      <c r="C22" s="5" t="s">
        <v>76</v>
      </c>
      <c r="D22" s="6" t="s">
        <v>16</v>
      </c>
      <c r="E22" s="5" t="s">
        <v>17</v>
      </c>
      <c r="F22" s="4" t="s">
        <v>18</v>
      </c>
      <c r="G22" s="11" t="s">
        <v>104</v>
      </c>
      <c r="H22" s="9" t="s">
        <v>57</v>
      </c>
      <c r="I22" s="8" t="s">
        <v>21</v>
      </c>
      <c r="J22" s="9" t="s">
        <v>29</v>
      </c>
      <c r="K22" s="6"/>
      <c r="L22" s="10"/>
      <c r="M22" s="11" t="s">
        <v>105</v>
      </c>
    </row>
    <row r="23" customFormat="false" ht="15" hidden="false" customHeight="false" outlineLevel="0" collapsed="false">
      <c r="A23" s="3" t="s">
        <v>13</v>
      </c>
      <c r="B23" s="4" t="s">
        <v>106</v>
      </c>
      <c r="C23" s="5" t="s">
        <v>80</v>
      </c>
      <c r="D23" s="6" t="s">
        <v>16</v>
      </c>
      <c r="E23" s="5" t="s">
        <v>17</v>
      </c>
      <c r="F23" s="4" t="s">
        <v>26</v>
      </c>
      <c r="G23" s="7" t="s">
        <v>107</v>
      </c>
      <c r="H23" s="6" t="s">
        <v>108</v>
      </c>
      <c r="I23" s="8" t="s">
        <v>21</v>
      </c>
      <c r="J23" s="9" t="s">
        <v>29</v>
      </c>
      <c r="K23" s="6"/>
      <c r="L23" s="10"/>
      <c r="M23" s="11" t="s">
        <v>109</v>
      </c>
    </row>
    <row r="24" customFormat="false" ht="15" hidden="false" customHeight="false" outlineLevel="0" collapsed="false">
      <c r="A24" s="3" t="s">
        <v>13</v>
      </c>
      <c r="B24" s="4" t="s">
        <v>110</v>
      </c>
      <c r="C24" s="5" t="s">
        <v>111</v>
      </c>
      <c r="D24" s="6" t="s">
        <v>16</v>
      </c>
      <c r="E24" s="5" t="s">
        <v>17</v>
      </c>
      <c r="F24" s="4" t="s">
        <v>89</v>
      </c>
      <c r="G24" s="11" t="s">
        <v>112</v>
      </c>
      <c r="H24" s="6" t="s">
        <v>40</v>
      </c>
      <c r="I24" s="8" t="s">
        <v>21</v>
      </c>
      <c r="J24" s="9" t="s">
        <v>29</v>
      </c>
      <c r="K24" s="6"/>
      <c r="L24" s="10"/>
      <c r="M24" s="11" t="s">
        <v>113</v>
      </c>
    </row>
    <row r="25" customFormat="false" ht="15" hidden="false" customHeight="false" outlineLevel="0" collapsed="false">
      <c r="A25" s="3" t="s">
        <v>13</v>
      </c>
      <c r="B25" s="4" t="s">
        <v>114</v>
      </c>
      <c r="C25" s="5" t="s">
        <v>115</v>
      </c>
      <c r="D25" s="6" t="s">
        <v>16</v>
      </c>
      <c r="E25" s="5" t="s">
        <v>17</v>
      </c>
      <c r="F25" s="4" t="s">
        <v>116</v>
      </c>
      <c r="G25" s="11" t="s">
        <v>117</v>
      </c>
      <c r="H25" s="9" t="s">
        <v>57</v>
      </c>
      <c r="I25" s="8" t="s">
        <v>21</v>
      </c>
      <c r="J25" s="9" t="s">
        <v>29</v>
      </c>
      <c r="K25" s="6"/>
      <c r="L25" s="10"/>
      <c r="M25" s="11" t="s">
        <v>118</v>
      </c>
    </row>
    <row r="26" customFormat="false" ht="15" hidden="false" customHeight="false" outlineLevel="0" collapsed="false">
      <c r="A26" s="3" t="s">
        <v>13</v>
      </c>
      <c r="B26" s="4" t="s">
        <v>119</v>
      </c>
      <c r="C26" s="5" t="s">
        <v>115</v>
      </c>
      <c r="D26" s="6" t="s">
        <v>16</v>
      </c>
      <c r="E26" s="5" t="s">
        <v>17</v>
      </c>
      <c r="F26" s="4" t="s">
        <v>89</v>
      </c>
      <c r="G26" s="11" t="s">
        <v>120</v>
      </c>
      <c r="H26" s="9" t="s">
        <v>57</v>
      </c>
      <c r="I26" s="8" t="s">
        <v>21</v>
      </c>
      <c r="J26" s="9" t="s">
        <v>29</v>
      </c>
      <c r="K26" s="6"/>
      <c r="L26" s="10"/>
      <c r="M26" s="11" t="s">
        <v>121</v>
      </c>
    </row>
    <row r="27" customFormat="false" ht="15" hidden="false" customHeight="false" outlineLevel="0" collapsed="false">
      <c r="A27" s="3" t="s">
        <v>13</v>
      </c>
      <c r="B27" s="4" t="s">
        <v>122</v>
      </c>
      <c r="C27" s="5" t="s">
        <v>115</v>
      </c>
      <c r="D27" s="6" t="s">
        <v>16</v>
      </c>
      <c r="E27" s="5" t="s">
        <v>17</v>
      </c>
      <c r="F27" s="4" t="s">
        <v>26</v>
      </c>
      <c r="G27" s="7" t="s">
        <v>123</v>
      </c>
      <c r="H27" s="6" t="s">
        <v>40</v>
      </c>
      <c r="I27" s="8" t="s">
        <v>21</v>
      </c>
      <c r="J27" s="9" t="s">
        <v>29</v>
      </c>
      <c r="K27" s="6"/>
      <c r="L27" s="10"/>
      <c r="M27" s="11" t="s">
        <v>124</v>
      </c>
    </row>
    <row r="28" customFormat="false" ht="15" hidden="false" customHeight="false" outlineLevel="0" collapsed="false">
      <c r="A28" s="3" t="s">
        <v>13</v>
      </c>
      <c r="B28" s="4" t="s">
        <v>125</v>
      </c>
      <c r="C28" s="5" t="s">
        <v>115</v>
      </c>
      <c r="D28" s="6" t="s">
        <v>16</v>
      </c>
      <c r="E28" s="5" t="s">
        <v>17</v>
      </c>
      <c r="F28" s="4" t="s">
        <v>26</v>
      </c>
      <c r="G28" s="7" t="s">
        <v>126</v>
      </c>
      <c r="H28" s="9" t="s">
        <v>57</v>
      </c>
      <c r="I28" s="8" t="s">
        <v>21</v>
      </c>
      <c r="J28" s="9" t="s">
        <v>29</v>
      </c>
      <c r="K28" s="6"/>
      <c r="L28" s="10"/>
      <c r="M28" s="11" t="s">
        <v>127</v>
      </c>
    </row>
    <row r="29" customFormat="false" ht="15" hidden="false" customHeight="false" outlineLevel="0" collapsed="false">
      <c r="A29" s="3" t="s">
        <v>13</v>
      </c>
      <c r="B29" s="4" t="s">
        <v>128</v>
      </c>
      <c r="C29" s="5" t="s">
        <v>129</v>
      </c>
      <c r="D29" s="6" t="s">
        <v>16</v>
      </c>
      <c r="E29" s="5" t="s">
        <v>17</v>
      </c>
      <c r="F29" s="4" t="s">
        <v>130</v>
      </c>
      <c r="G29" s="11" t="s">
        <v>131</v>
      </c>
      <c r="H29" s="6" t="s">
        <v>28</v>
      </c>
      <c r="I29" s="8" t="s">
        <v>21</v>
      </c>
      <c r="J29" s="9" t="s">
        <v>29</v>
      </c>
      <c r="K29" s="6"/>
      <c r="L29" s="10"/>
      <c r="M29" s="7" t="s">
        <v>132</v>
      </c>
    </row>
    <row r="30" customFormat="false" ht="15" hidden="false" customHeight="false" outlineLevel="0" collapsed="false">
      <c r="A30" s="3" t="s">
        <v>13</v>
      </c>
      <c r="B30" s="4" t="s">
        <v>133</v>
      </c>
      <c r="C30" s="5" t="s">
        <v>129</v>
      </c>
      <c r="D30" s="6" t="s">
        <v>16</v>
      </c>
      <c r="E30" s="5" t="s">
        <v>17</v>
      </c>
      <c r="F30" s="4" t="s">
        <v>89</v>
      </c>
      <c r="G30" s="7" t="s">
        <v>27</v>
      </c>
      <c r="H30" s="6" t="s">
        <v>28</v>
      </c>
      <c r="I30" s="8" t="s">
        <v>21</v>
      </c>
      <c r="J30" s="9" t="s">
        <v>29</v>
      </c>
      <c r="K30" s="6"/>
      <c r="L30" s="10"/>
      <c r="M30" s="7" t="s">
        <v>134</v>
      </c>
    </row>
    <row r="31" customFormat="false" ht="15" hidden="false" customHeight="false" outlineLevel="0" collapsed="false">
      <c r="A31" s="3" t="s">
        <v>13</v>
      </c>
      <c r="B31" s="4" t="s">
        <v>135</v>
      </c>
      <c r="C31" s="5" t="s">
        <v>129</v>
      </c>
      <c r="D31" s="6" t="s">
        <v>16</v>
      </c>
      <c r="E31" s="5" t="s">
        <v>17</v>
      </c>
      <c r="F31" s="4" t="s">
        <v>26</v>
      </c>
      <c r="G31" s="7" t="s">
        <v>136</v>
      </c>
      <c r="H31" s="6" t="s">
        <v>28</v>
      </c>
      <c r="I31" s="8" t="s">
        <v>21</v>
      </c>
      <c r="J31" s="9" t="s">
        <v>29</v>
      </c>
      <c r="K31" s="6"/>
      <c r="L31" s="10"/>
      <c r="M31" s="11" t="s">
        <v>137</v>
      </c>
    </row>
    <row r="32" customFormat="false" ht="15" hidden="false" customHeight="false" outlineLevel="0" collapsed="false">
      <c r="A32" s="3" t="s">
        <v>13</v>
      </c>
      <c r="B32" s="4" t="s">
        <v>138</v>
      </c>
      <c r="C32" s="5" t="s">
        <v>129</v>
      </c>
      <c r="D32" s="6" t="s">
        <v>16</v>
      </c>
      <c r="E32" s="5" t="s">
        <v>17</v>
      </c>
      <c r="F32" s="4" t="s">
        <v>89</v>
      </c>
      <c r="G32" s="11" t="s">
        <v>139</v>
      </c>
      <c r="H32" s="9" t="s">
        <v>140</v>
      </c>
      <c r="I32" s="8" t="s">
        <v>21</v>
      </c>
      <c r="J32" s="9" t="s">
        <v>29</v>
      </c>
      <c r="K32" s="6"/>
      <c r="L32" s="10"/>
      <c r="M32" s="11" t="s">
        <v>141</v>
      </c>
    </row>
    <row r="33" customFormat="false" ht="15" hidden="false" customHeight="false" outlineLevel="0" collapsed="false">
      <c r="A33" s="3" t="s">
        <v>13</v>
      </c>
      <c r="B33" s="4" t="s">
        <v>142</v>
      </c>
      <c r="C33" s="5" t="s">
        <v>129</v>
      </c>
      <c r="D33" s="6" t="s">
        <v>16</v>
      </c>
      <c r="E33" s="5" t="s">
        <v>17</v>
      </c>
      <c r="F33" s="4" t="s">
        <v>143</v>
      </c>
      <c r="G33" s="7" t="s">
        <v>144</v>
      </c>
      <c r="H33" s="6" t="s">
        <v>145</v>
      </c>
      <c r="I33" s="8" t="s">
        <v>21</v>
      </c>
      <c r="J33" s="9" t="s">
        <v>29</v>
      </c>
      <c r="K33" s="6"/>
      <c r="L33" s="10"/>
      <c r="M33" s="7" t="s">
        <v>146</v>
      </c>
    </row>
    <row r="34" customFormat="false" ht="15" hidden="false" customHeight="false" outlineLevel="0" collapsed="false">
      <c r="A34" s="3" t="s">
        <v>13</v>
      </c>
      <c r="B34" s="4" t="s">
        <v>147</v>
      </c>
      <c r="C34" s="5" t="s">
        <v>148</v>
      </c>
      <c r="D34" s="6" t="s">
        <v>16</v>
      </c>
      <c r="E34" s="5" t="s">
        <v>17</v>
      </c>
      <c r="F34" s="4" t="s">
        <v>89</v>
      </c>
      <c r="G34" s="11" t="s">
        <v>149</v>
      </c>
      <c r="H34" s="6" t="s">
        <v>40</v>
      </c>
      <c r="I34" s="8" t="s">
        <v>21</v>
      </c>
      <c r="J34" s="9" t="s">
        <v>29</v>
      </c>
      <c r="K34" s="6"/>
      <c r="L34" s="10"/>
      <c r="M34" s="7"/>
    </row>
    <row r="35" customFormat="false" ht="15" hidden="false" customHeight="false" outlineLevel="0" collapsed="false">
      <c r="A35" s="3" t="s">
        <v>13</v>
      </c>
      <c r="B35" s="4" t="s">
        <v>85</v>
      </c>
      <c r="C35" s="5" t="s">
        <v>148</v>
      </c>
      <c r="D35" s="6" t="s">
        <v>16</v>
      </c>
      <c r="E35" s="5" t="s">
        <v>17</v>
      </c>
      <c r="F35" s="4" t="s">
        <v>89</v>
      </c>
      <c r="G35" s="7" t="s">
        <v>150</v>
      </c>
      <c r="H35" s="6" t="s">
        <v>28</v>
      </c>
      <c r="I35" s="8" t="s">
        <v>21</v>
      </c>
      <c r="J35" s="9" t="s">
        <v>29</v>
      </c>
      <c r="K35" s="6"/>
      <c r="L35" s="10"/>
      <c r="M35" s="7" t="s">
        <v>151</v>
      </c>
    </row>
    <row r="36" customFormat="false" ht="15" hidden="false" customHeight="false" outlineLevel="0" collapsed="false">
      <c r="A36" s="3" t="s">
        <v>13</v>
      </c>
      <c r="B36" s="4" t="s">
        <v>152</v>
      </c>
      <c r="C36" s="5" t="s">
        <v>148</v>
      </c>
      <c r="D36" s="6" t="s">
        <v>16</v>
      </c>
      <c r="E36" s="5" t="s">
        <v>17</v>
      </c>
      <c r="F36" s="4" t="s">
        <v>89</v>
      </c>
      <c r="G36" s="7" t="s">
        <v>153</v>
      </c>
      <c r="H36" s="9" t="s">
        <v>57</v>
      </c>
      <c r="I36" s="8" t="s">
        <v>21</v>
      </c>
      <c r="J36" s="9" t="s">
        <v>29</v>
      </c>
      <c r="K36" s="6"/>
      <c r="L36" s="10"/>
      <c r="M36" s="11" t="s">
        <v>154</v>
      </c>
    </row>
    <row r="37" customFormat="false" ht="15" hidden="false" customHeight="false" outlineLevel="0" collapsed="false">
      <c r="A37" s="3" t="s">
        <v>13</v>
      </c>
      <c r="B37" s="4" t="s">
        <v>155</v>
      </c>
      <c r="C37" s="5" t="s">
        <v>148</v>
      </c>
      <c r="D37" s="6" t="s">
        <v>16</v>
      </c>
      <c r="E37" s="5" t="s">
        <v>17</v>
      </c>
      <c r="F37" s="5" t="s">
        <v>57</v>
      </c>
      <c r="G37" s="7" t="s">
        <v>156</v>
      </c>
      <c r="H37" s="9" t="s">
        <v>57</v>
      </c>
      <c r="I37" s="8" t="s">
        <v>21</v>
      </c>
      <c r="J37" s="9" t="s">
        <v>29</v>
      </c>
      <c r="K37" s="6"/>
      <c r="L37" s="10"/>
      <c r="M37" s="11" t="s">
        <v>157</v>
      </c>
    </row>
    <row r="38" customFormat="false" ht="15" hidden="false" customHeight="false" outlineLevel="0" collapsed="false">
      <c r="A38" s="3" t="s">
        <v>13</v>
      </c>
      <c r="B38" s="4" t="s">
        <v>158</v>
      </c>
      <c r="C38" s="5" t="s">
        <v>159</v>
      </c>
      <c r="D38" s="6" t="s">
        <v>16</v>
      </c>
      <c r="E38" s="5" t="s">
        <v>17</v>
      </c>
      <c r="F38" s="4" t="s">
        <v>160</v>
      </c>
      <c r="G38" s="11" t="s">
        <v>161</v>
      </c>
      <c r="H38" s="9" t="s">
        <v>57</v>
      </c>
      <c r="I38" s="8" t="s">
        <v>21</v>
      </c>
      <c r="J38" s="9" t="s">
        <v>29</v>
      </c>
      <c r="K38" s="6"/>
      <c r="L38" s="10"/>
      <c r="M38" s="11" t="s">
        <v>162</v>
      </c>
    </row>
    <row r="39" customFormat="false" ht="15" hidden="false" customHeight="false" outlineLevel="0" collapsed="false">
      <c r="A39" s="3" t="s">
        <v>13</v>
      </c>
      <c r="B39" s="4" t="s">
        <v>163</v>
      </c>
      <c r="C39" s="5" t="s">
        <v>76</v>
      </c>
      <c r="D39" s="6" t="s">
        <v>16</v>
      </c>
      <c r="E39" s="5" t="s">
        <v>17</v>
      </c>
      <c r="F39" s="4" t="s">
        <v>18</v>
      </c>
      <c r="G39" s="11" t="s">
        <v>164</v>
      </c>
      <c r="H39" s="6" t="s">
        <v>20</v>
      </c>
      <c r="I39" s="8" t="s">
        <v>21</v>
      </c>
      <c r="J39" s="9" t="s">
        <v>29</v>
      </c>
      <c r="K39" s="6"/>
      <c r="L39" s="10"/>
      <c r="M39" s="7" t="s">
        <v>165</v>
      </c>
    </row>
    <row r="40" customFormat="false" ht="15" hidden="false" customHeight="false" outlineLevel="0" collapsed="false">
      <c r="A40" s="3" t="s">
        <v>13</v>
      </c>
      <c r="B40" s="4" t="s">
        <v>166</v>
      </c>
      <c r="C40" s="5" t="s">
        <v>76</v>
      </c>
      <c r="D40" s="6" t="s">
        <v>16</v>
      </c>
      <c r="E40" s="5" t="s">
        <v>17</v>
      </c>
      <c r="F40" s="4" t="s">
        <v>116</v>
      </c>
      <c r="G40" s="11" t="s">
        <v>167</v>
      </c>
      <c r="H40" s="9" t="s">
        <v>57</v>
      </c>
      <c r="I40" s="8" t="s">
        <v>21</v>
      </c>
      <c r="J40" s="9" t="s">
        <v>29</v>
      </c>
      <c r="K40" s="6"/>
      <c r="L40" s="10"/>
      <c r="M40" s="7"/>
    </row>
    <row r="41" customFormat="false" ht="15" hidden="false" customHeight="false" outlineLevel="0" collapsed="false">
      <c r="A41" s="3" t="s">
        <v>13</v>
      </c>
      <c r="B41" s="4" t="s">
        <v>168</v>
      </c>
      <c r="C41" s="5" t="s">
        <v>169</v>
      </c>
      <c r="D41" s="6" t="s">
        <v>16</v>
      </c>
      <c r="E41" s="5" t="s">
        <v>17</v>
      </c>
      <c r="F41" s="4" t="s">
        <v>170</v>
      </c>
      <c r="G41" s="7" t="s">
        <v>171</v>
      </c>
      <c r="H41" s="9" t="s">
        <v>57</v>
      </c>
      <c r="I41" s="8" t="s">
        <v>21</v>
      </c>
      <c r="J41" s="9" t="s">
        <v>29</v>
      </c>
      <c r="K41" s="6"/>
      <c r="L41" s="10"/>
      <c r="M41" s="11" t="s">
        <v>172</v>
      </c>
    </row>
    <row r="42" customFormat="false" ht="15" hidden="false" customHeight="false" outlineLevel="0" collapsed="false">
      <c r="A42" s="12" t="s">
        <v>173</v>
      </c>
      <c r="B42" s="4" t="s">
        <v>174</v>
      </c>
      <c r="C42" s="5" t="s">
        <v>15</v>
      </c>
      <c r="D42" s="6" t="s">
        <v>175</v>
      </c>
      <c r="E42" s="5" t="s">
        <v>17</v>
      </c>
      <c r="F42" s="4" t="s">
        <v>18</v>
      </c>
      <c r="G42" s="7" t="s">
        <v>176</v>
      </c>
      <c r="H42" s="6" t="s">
        <v>20</v>
      </c>
      <c r="I42" s="8" t="s">
        <v>21</v>
      </c>
      <c r="J42" s="9" t="s">
        <v>29</v>
      </c>
      <c r="K42" s="6"/>
      <c r="L42" s="10"/>
      <c r="M42" s="11" t="s">
        <v>177</v>
      </c>
    </row>
    <row r="43" customFormat="false" ht="15" hidden="false" customHeight="false" outlineLevel="0" collapsed="false">
      <c r="A43" s="12" t="s">
        <v>173</v>
      </c>
      <c r="B43" s="4" t="s">
        <v>178</v>
      </c>
      <c r="C43" s="5" t="s">
        <v>15</v>
      </c>
      <c r="D43" s="6" t="s">
        <v>175</v>
      </c>
      <c r="E43" s="5" t="s">
        <v>17</v>
      </c>
      <c r="F43" s="4" t="s">
        <v>179</v>
      </c>
      <c r="G43" s="7" t="s">
        <v>180</v>
      </c>
      <c r="H43" s="6" t="s">
        <v>20</v>
      </c>
      <c r="I43" s="8" t="s">
        <v>21</v>
      </c>
      <c r="J43" s="9" t="s">
        <v>29</v>
      </c>
      <c r="K43" s="6"/>
      <c r="L43" s="10"/>
      <c r="M43" s="11" t="s">
        <v>181</v>
      </c>
    </row>
    <row r="44" customFormat="false" ht="15" hidden="false" customHeight="false" outlineLevel="0" collapsed="false">
      <c r="A44" s="12" t="s">
        <v>173</v>
      </c>
      <c r="B44" s="4" t="s">
        <v>182</v>
      </c>
      <c r="C44" s="5" t="s">
        <v>15</v>
      </c>
      <c r="D44" s="6" t="s">
        <v>175</v>
      </c>
      <c r="E44" s="5" t="s">
        <v>17</v>
      </c>
      <c r="F44" s="4" t="s">
        <v>18</v>
      </c>
      <c r="G44" s="11" t="s">
        <v>183</v>
      </c>
      <c r="H44" s="6" t="s">
        <v>20</v>
      </c>
      <c r="I44" s="8" t="s">
        <v>21</v>
      </c>
      <c r="J44" s="9" t="s">
        <v>29</v>
      </c>
      <c r="K44" s="6"/>
      <c r="L44" s="10"/>
      <c r="M44" s="7" t="s">
        <v>184</v>
      </c>
    </row>
    <row r="45" customFormat="false" ht="15" hidden="false" customHeight="false" outlineLevel="0" collapsed="false">
      <c r="A45" s="12" t="s">
        <v>173</v>
      </c>
      <c r="B45" s="4" t="s">
        <v>185</v>
      </c>
      <c r="C45" s="5" t="s">
        <v>15</v>
      </c>
      <c r="D45" s="6" t="s">
        <v>175</v>
      </c>
      <c r="E45" s="5" t="s">
        <v>17</v>
      </c>
      <c r="F45" s="4" t="s">
        <v>18</v>
      </c>
      <c r="G45" s="7" t="s">
        <v>186</v>
      </c>
      <c r="H45" s="6" t="s">
        <v>187</v>
      </c>
      <c r="I45" s="8" t="s">
        <v>21</v>
      </c>
      <c r="J45" s="9" t="s">
        <v>29</v>
      </c>
      <c r="K45" s="6"/>
      <c r="L45" s="10"/>
      <c r="M45" s="7"/>
    </row>
    <row r="46" customFormat="false" ht="15" hidden="false" customHeight="false" outlineLevel="0" collapsed="false">
      <c r="A46" s="12" t="s">
        <v>173</v>
      </c>
      <c r="B46" s="4" t="s">
        <v>188</v>
      </c>
      <c r="C46" s="5" t="s">
        <v>15</v>
      </c>
      <c r="D46" s="6" t="s">
        <v>175</v>
      </c>
      <c r="E46" s="5" t="s">
        <v>17</v>
      </c>
      <c r="F46" s="4" t="s">
        <v>189</v>
      </c>
      <c r="G46" s="7" t="s">
        <v>190</v>
      </c>
      <c r="H46" s="6" t="s">
        <v>20</v>
      </c>
      <c r="I46" s="8" t="s">
        <v>21</v>
      </c>
      <c r="J46" s="9" t="s">
        <v>29</v>
      </c>
      <c r="K46" s="6"/>
      <c r="L46" s="10"/>
      <c r="M46" s="7"/>
    </row>
    <row r="47" customFormat="false" ht="15" hidden="false" customHeight="false" outlineLevel="0" collapsed="false">
      <c r="A47" s="12" t="s">
        <v>173</v>
      </c>
      <c r="B47" s="4" t="s">
        <v>191</v>
      </c>
      <c r="C47" s="5" t="s">
        <v>192</v>
      </c>
      <c r="D47" s="6" t="s">
        <v>175</v>
      </c>
      <c r="E47" s="5" t="s">
        <v>17</v>
      </c>
      <c r="F47" s="4" t="s">
        <v>89</v>
      </c>
      <c r="G47" s="7" t="s">
        <v>193</v>
      </c>
      <c r="H47" s="9" t="s">
        <v>194</v>
      </c>
      <c r="I47" s="8" t="s">
        <v>21</v>
      </c>
      <c r="J47" s="9" t="s">
        <v>29</v>
      </c>
      <c r="K47" s="6"/>
      <c r="L47" s="10"/>
      <c r="M47" s="11" t="s">
        <v>195</v>
      </c>
    </row>
    <row r="48" customFormat="false" ht="15" hidden="false" customHeight="false" outlineLevel="0" collapsed="false">
      <c r="A48" s="12" t="s">
        <v>173</v>
      </c>
      <c r="B48" s="4" t="s">
        <v>196</v>
      </c>
      <c r="C48" s="5" t="s">
        <v>15</v>
      </c>
      <c r="D48" s="6" t="s">
        <v>175</v>
      </c>
      <c r="E48" s="5" t="s">
        <v>17</v>
      </c>
      <c r="F48" s="4" t="s">
        <v>33</v>
      </c>
      <c r="G48" s="7" t="s">
        <v>197</v>
      </c>
      <c r="H48" s="6" t="s">
        <v>28</v>
      </c>
      <c r="I48" s="8" t="s">
        <v>21</v>
      </c>
      <c r="J48" s="9" t="s">
        <v>29</v>
      </c>
      <c r="K48" s="6"/>
      <c r="L48" s="10"/>
      <c r="M48" s="11" t="s">
        <v>198</v>
      </c>
    </row>
    <row r="49" customFormat="false" ht="15" hidden="false" customHeight="false" outlineLevel="0" collapsed="false">
      <c r="A49" s="12" t="s">
        <v>173</v>
      </c>
      <c r="B49" s="4" t="s">
        <v>199</v>
      </c>
      <c r="C49" s="5" t="s">
        <v>15</v>
      </c>
      <c r="D49" s="6" t="s">
        <v>175</v>
      </c>
      <c r="E49" s="5" t="s">
        <v>17</v>
      </c>
      <c r="F49" s="4" t="s">
        <v>200</v>
      </c>
      <c r="G49" s="7" t="s">
        <v>201</v>
      </c>
      <c r="H49" s="6" t="s">
        <v>70</v>
      </c>
      <c r="I49" s="8" t="s">
        <v>21</v>
      </c>
      <c r="J49" s="9" t="s">
        <v>29</v>
      </c>
      <c r="K49" s="6"/>
      <c r="L49" s="10"/>
      <c r="M49" s="11" t="s">
        <v>202</v>
      </c>
    </row>
    <row r="50" customFormat="false" ht="15" hidden="false" customHeight="false" outlineLevel="0" collapsed="false">
      <c r="A50" s="12" t="s">
        <v>173</v>
      </c>
      <c r="B50" s="4" t="s">
        <v>203</v>
      </c>
      <c r="C50" s="4" t="s">
        <v>32</v>
      </c>
      <c r="D50" s="6" t="s">
        <v>175</v>
      </c>
      <c r="E50" s="5" t="s">
        <v>17</v>
      </c>
      <c r="F50" s="4" t="s">
        <v>26</v>
      </c>
      <c r="G50" s="7" t="s">
        <v>204</v>
      </c>
      <c r="H50" s="6" t="s">
        <v>28</v>
      </c>
      <c r="I50" s="8" t="s">
        <v>21</v>
      </c>
      <c r="J50" s="9" t="s">
        <v>29</v>
      </c>
      <c r="K50" s="6"/>
      <c r="L50" s="10"/>
      <c r="M50" s="11" t="s">
        <v>205</v>
      </c>
    </row>
    <row r="51" customFormat="false" ht="15" hidden="false" customHeight="false" outlineLevel="0" collapsed="false">
      <c r="A51" s="12" t="s">
        <v>173</v>
      </c>
      <c r="B51" s="4" t="s">
        <v>206</v>
      </c>
      <c r="C51" s="4" t="s">
        <v>32</v>
      </c>
      <c r="D51" s="6" t="s">
        <v>175</v>
      </c>
      <c r="E51" s="5" t="s">
        <v>17</v>
      </c>
      <c r="F51" s="4" t="s">
        <v>89</v>
      </c>
      <c r="G51" s="7" t="s">
        <v>156</v>
      </c>
      <c r="H51" s="6" t="s">
        <v>35</v>
      </c>
      <c r="I51" s="8" t="s">
        <v>21</v>
      </c>
      <c r="J51" s="9" t="s">
        <v>29</v>
      </c>
      <c r="K51" s="6"/>
      <c r="L51" s="10"/>
      <c r="M51" s="7"/>
    </row>
    <row r="52" customFormat="false" ht="15" hidden="false" customHeight="false" outlineLevel="0" collapsed="false">
      <c r="A52" s="12" t="s">
        <v>173</v>
      </c>
      <c r="B52" s="4" t="s">
        <v>207</v>
      </c>
      <c r="C52" s="4" t="s">
        <v>32</v>
      </c>
      <c r="D52" s="6" t="s">
        <v>175</v>
      </c>
      <c r="E52" s="5" t="s">
        <v>17</v>
      </c>
      <c r="F52" s="4" t="s">
        <v>89</v>
      </c>
      <c r="G52" s="7" t="s">
        <v>208</v>
      </c>
      <c r="H52" s="6" t="s">
        <v>40</v>
      </c>
      <c r="I52" s="8" t="s">
        <v>21</v>
      </c>
      <c r="J52" s="9" t="s">
        <v>29</v>
      </c>
      <c r="K52" s="6"/>
      <c r="L52" s="10"/>
      <c r="M52" s="11" t="s">
        <v>209</v>
      </c>
    </row>
    <row r="53" customFormat="false" ht="15" hidden="false" customHeight="false" outlineLevel="0" collapsed="false">
      <c r="A53" s="12" t="s">
        <v>173</v>
      </c>
      <c r="B53" s="4" t="s">
        <v>210</v>
      </c>
      <c r="C53" s="4" t="s">
        <v>32</v>
      </c>
      <c r="D53" s="6" t="s">
        <v>175</v>
      </c>
      <c r="E53" s="5" t="s">
        <v>17</v>
      </c>
      <c r="F53" s="4" t="s">
        <v>89</v>
      </c>
      <c r="G53" s="11" t="s">
        <v>211</v>
      </c>
      <c r="H53" s="6" t="s">
        <v>212</v>
      </c>
      <c r="I53" s="8" t="s">
        <v>21</v>
      </c>
      <c r="J53" s="9" t="s">
        <v>29</v>
      </c>
      <c r="K53" s="6"/>
      <c r="L53" s="10"/>
      <c r="M53" s="11" t="s">
        <v>127</v>
      </c>
    </row>
    <row r="54" customFormat="false" ht="15" hidden="false" customHeight="false" outlineLevel="0" collapsed="false">
      <c r="A54" s="12" t="s">
        <v>173</v>
      </c>
      <c r="B54" s="4" t="s">
        <v>213</v>
      </c>
      <c r="C54" s="4" t="s">
        <v>38</v>
      </c>
      <c r="D54" s="6" t="s">
        <v>175</v>
      </c>
      <c r="E54" s="5" t="s">
        <v>17</v>
      </c>
      <c r="F54" s="4" t="s">
        <v>214</v>
      </c>
      <c r="G54" s="7" t="s">
        <v>156</v>
      </c>
      <c r="H54" s="6" t="s">
        <v>28</v>
      </c>
      <c r="I54" s="8" t="s">
        <v>21</v>
      </c>
      <c r="J54" s="9" t="s">
        <v>29</v>
      </c>
      <c r="K54" s="6"/>
      <c r="L54" s="10"/>
      <c r="M54" s="11" t="s">
        <v>215</v>
      </c>
    </row>
    <row r="55" customFormat="false" ht="15" hidden="false" customHeight="false" outlineLevel="0" collapsed="false">
      <c r="A55" s="12" t="s">
        <v>173</v>
      </c>
      <c r="B55" s="4" t="s">
        <v>216</v>
      </c>
      <c r="C55" s="4" t="s">
        <v>38</v>
      </c>
      <c r="D55" s="6" t="s">
        <v>175</v>
      </c>
      <c r="E55" s="5" t="s">
        <v>17</v>
      </c>
      <c r="F55" s="4" t="s">
        <v>18</v>
      </c>
      <c r="G55" s="7" t="s">
        <v>217</v>
      </c>
      <c r="H55" s="6" t="s">
        <v>28</v>
      </c>
      <c r="I55" s="8" t="s">
        <v>21</v>
      </c>
      <c r="J55" s="9" t="s">
        <v>29</v>
      </c>
      <c r="K55" s="6"/>
      <c r="L55" s="10"/>
      <c r="M55" s="11" t="s">
        <v>218</v>
      </c>
    </row>
    <row r="56" customFormat="false" ht="15" hidden="false" customHeight="false" outlineLevel="0" collapsed="false">
      <c r="A56" s="12" t="s">
        <v>173</v>
      </c>
      <c r="B56" s="4" t="s">
        <v>219</v>
      </c>
      <c r="C56" s="4" t="s">
        <v>84</v>
      </c>
      <c r="D56" s="6" t="s">
        <v>175</v>
      </c>
      <c r="E56" s="5" t="s">
        <v>17</v>
      </c>
      <c r="F56" s="4" t="s">
        <v>18</v>
      </c>
      <c r="G56" s="11" t="s">
        <v>220</v>
      </c>
      <c r="H56" s="9" t="s">
        <v>57</v>
      </c>
      <c r="I56" s="8" t="s">
        <v>21</v>
      </c>
      <c r="J56" s="9" t="s">
        <v>29</v>
      </c>
      <c r="K56" s="6"/>
      <c r="L56" s="10"/>
      <c r="M56" s="11" t="s">
        <v>221</v>
      </c>
    </row>
    <row r="57" customFormat="false" ht="15" hidden="false" customHeight="false" outlineLevel="0" collapsed="false">
      <c r="A57" s="12" t="s">
        <v>173</v>
      </c>
      <c r="B57" s="4" t="s">
        <v>222</v>
      </c>
      <c r="C57" s="4" t="s">
        <v>84</v>
      </c>
      <c r="D57" s="6" t="s">
        <v>175</v>
      </c>
      <c r="E57" s="5" t="s">
        <v>17</v>
      </c>
      <c r="F57" s="4" t="s">
        <v>18</v>
      </c>
      <c r="G57" s="7" t="s">
        <v>223</v>
      </c>
      <c r="H57" s="9" t="s">
        <v>57</v>
      </c>
      <c r="I57" s="8" t="s">
        <v>21</v>
      </c>
      <c r="J57" s="9" t="s">
        <v>29</v>
      </c>
      <c r="K57" s="6"/>
      <c r="L57" s="10"/>
      <c r="M57" s="7" t="s">
        <v>224</v>
      </c>
    </row>
    <row r="58" customFormat="false" ht="15" hidden="false" customHeight="false" outlineLevel="0" collapsed="false">
      <c r="A58" s="12" t="s">
        <v>173</v>
      </c>
      <c r="B58" s="4" t="s">
        <v>225</v>
      </c>
      <c r="C58" s="4" t="s">
        <v>84</v>
      </c>
      <c r="D58" s="6" t="s">
        <v>175</v>
      </c>
      <c r="E58" s="5" t="s">
        <v>17</v>
      </c>
      <c r="F58" s="4" t="s">
        <v>33</v>
      </c>
      <c r="G58" s="11" t="s">
        <v>226</v>
      </c>
      <c r="H58" s="6" t="s">
        <v>35</v>
      </c>
      <c r="I58" s="8" t="s">
        <v>21</v>
      </c>
      <c r="J58" s="9" t="s">
        <v>29</v>
      </c>
      <c r="K58" s="6"/>
      <c r="L58" s="10"/>
      <c r="M58" s="11" t="s">
        <v>227</v>
      </c>
    </row>
    <row r="59" customFormat="false" ht="15" hidden="false" customHeight="false" outlineLevel="0" collapsed="false">
      <c r="A59" s="12" t="s">
        <v>173</v>
      </c>
      <c r="B59" s="4" t="s">
        <v>228</v>
      </c>
      <c r="C59" s="4" t="s">
        <v>84</v>
      </c>
      <c r="D59" s="6" t="s">
        <v>175</v>
      </c>
      <c r="E59" s="5" t="s">
        <v>17</v>
      </c>
      <c r="F59" s="4" t="s">
        <v>229</v>
      </c>
      <c r="G59" s="11" t="s">
        <v>230</v>
      </c>
      <c r="H59" s="9" t="s">
        <v>57</v>
      </c>
      <c r="I59" s="8" t="s">
        <v>21</v>
      </c>
      <c r="J59" s="9" t="s">
        <v>29</v>
      </c>
      <c r="K59" s="6"/>
      <c r="L59" s="10"/>
      <c r="M59" s="7"/>
    </row>
    <row r="60" customFormat="false" ht="15" hidden="false" customHeight="false" outlineLevel="0" collapsed="false">
      <c r="A60" s="12" t="s">
        <v>173</v>
      </c>
      <c r="B60" s="4" t="s">
        <v>231</v>
      </c>
      <c r="C60" s="5" t="s">
        <v>65</v>
      </c>
      <c r="D60" s="6" t="s">
        <v>175</v>
      </c>
      <c r="E60" s="5" t="s">
        <v>17</v>
      </c>
      <c r="F60" s="4" t="s">
        <v>143</v>
      </c>
      <c r="G60" s="7" t="s">
        <v>232</v>
      </c>
      <c r="H60" s="6" t="s">
        <v>20</v>
      </c>
      <c r="I60" s="8" t="s">
        <v>21</v>
      </c>
      <c r="J60" s="9" t="s">
        <v>29</v>
      </c>
      <c r="K60" s="6"/>
      <c r="L60" s="10"/>
      <c r="M60" s="11" t="s">
        <v>233</v>
      </c>
    </row>
    <row r="61" customFormat="false" ht="15" hidden="false" customHeight="false" outlineLevel="0" collapsed="false">
      <c r="A61" s="12" t="s">
        <v>173</v>
      </c>
      <c r="B61" s="4" t="s">
        <v>234</v>
      </c>
      <c r="C61" s="5" t="s">
        <v>65</v>
      </c>
      <c r="D61" s="6" t="s">
        <v>175</v>
      </c>
      <c r="E61" s="5" t="s">
        <v>17</v>
      </c>
      <c r="F61" s="4" t="s">
        <v>33</v>
      </c>
      <c r="G61" s="7" t="s">
        <v>235</v>
      </c>
      <c r="H61" s="6" t="s">
        <v>40</v>
      </c>
      <c r="I61" s="8" t="s">
        <v>21</v>
      </c>
      <c r="J61" s="9" t="s">
        <v>29</v>
      </c>
      <c r="K61" s="6"/>
      <c r="L61" s="10"/>
      <c r="M61" s="11" t="s">
        <v>205</v>
      </c>
    </row>
    <row r="62" customFormat="false" ht="15" hidden="false" customHeight="false" outlineLevel="0" collapsed="false">
      <c r="A62" s="12" t="s">
        <v>173</v>
      </c>
      <c r="B62" s="4" t="s">
        <v>236</v>
      </c>
      <c r="C62" s="5" t="s">
        <v>65</v>
      </c>
      <c r="D62" s="6" t="s">
        <v>175</v>
      </c>
      <c r="E62" s="5" t="s">
        <v>17</v>
      </c>
      <c r="F62" s="4" t="s">
        <v>89</v>
      </c>
      <c r="G62" s="11" t="s">
        <v>237</v>
      </c>
      <c r="H62" s="6" t="s">
        <v>20</v>
      </c>
      <c r="I62" s="8" t="s">
        <v>21</v>
      </c>
      <c r="J62" s="9" t="s">
        <v>29</v>
      </c>
      <c r="K62" s="6"/>
      <c r="L62" s="10"/>
      <c r="M62" s="11" t="s">
        <v>238</v>
      </c>
    </row>
    <row r="63" customFormat="false" ht="15" hidden="false" customHeight="false" outlineLevel="0" collapsed="false">
      <c r="A63" s="12" t="s">
        <v>173</v>
      </c>
      <c r="B63" s="4" t="s">
        <v>239</v>
      </c>
      <c r="C63" s="5" t="s">
        <v>65</v>
      </c>
      <c r="D63" s="6" t="s">
        <v>175</v>
      </c>
      <c r="E63" s="5" t="s">
        <v>17</v>
      </c>
      <c r="F63" s="4" t="s">
        <v>89</v>
      </c>
      <c r="G63" s="7" t="s">
        <v>240</v>
      </c>
      <c r="H63" s="6" t="s">
        <v>28</v>
      </c>
      <c r="I63" s="8" t="s">
        <v>21</v>
      </c>
      <c r="J63" s="9" t="s">
        <v>29</v>
      </c>
      <c r="K63" s="6"/>
      <c r="L63" s="10"/>
      <c r="M63" s="11" t="s">
        <v>241</v>
      </c>
    </row>
    <row r="64" customFormat="false" ht="15" hidden="false" customHeight="false" outlineLevel="0" collapsed="false">
      <c r="A64" s="12" t="s">
        <v>173</v>
      </c>
      <c r="B64" s="4" t="s">
        <v>242</v>
      </c>
      <c r="C64" s="5" t="s">
        <v>65</v>
      </c>
      <c r="D64" s="6" t="s">
        <v>175</v>
      </c>
      <c r="E64" s="5" t="s">
        <v>17</v>
      </c>
      <c r="F64" s="4" t="s">
        <v>243</v>
      </c>
      <c r="G64" s="7" t="s">
        <v>244</v>
      </c>
      <c r="H64" s="6" t="s">
        <v>62</v>
      </c>
      <c r="I64" s="8" t="s">
        <v>21</v>
      </c>
      <c r="J64" s="9" t="s">
        <v>29</v>
      </c>
      <c r="K64" s="6"/>
      <c r="L64" s="10"/>
      <c r="M64" s="11" t="s">
        <v>245</v>
      </c>
    </row>
    <row r="65" customFormat="false" ht="15" hidden="false" customHeight="false" outlineLevel="0" collapsed="false">
      <c r="A65" s="12" t="s">
        <v>173</v>
      </c>
      <c r="B65" s="4" t="s">
        <v>246</v>
      </c>
      <c r="C65" s="5" t="s">
        <v>65</v>
      </c>
      <c r="D65" s="6" t="s">
        <v>175</v>
      </c>
      <c r="E65" s="5" t="s">
        <v>17</v>
      </c>
      <c r="F65" s="4" t="s">
        <v>18</v>
      </c>
      <c r="G65" s="11" t="s">
        <v>247</v>
      </c>
      <c r="H65" s="6" t="s">
        <v>20</v>
      </c>
      <c r="I65" s="8" t="s">
        <v>21</v>
      </c>
      <c r="J65" s="9" t="s">
        <v>29</v>
      </c>
      <c r="K65" s="6"/>
      <c r="L65" s="10"/>
      <c r="M65" s="11" t="s">
        <v>127</v>
      </c>
    </row>
    <row r="66" customFormat="false" ht="15" hidden="false" customHeight="false" outlineLevel="0" collapsed="false">
      <c r="A66" s="12" t="s">
        <v>173</v>
      </c>
      <c r="B66" s="4" t="s">
        <v>248</v>
      </c>
      <c r="C66" s="5" t="s">
        <v>192</v>
      </c>
      <c r="D66" s="6" t="s">
        <v>175</v>
      </c>
      <c r="E66" s="5" t="s">
        <v>17</v>
      </c>
      <c r="F66" s="4" t="s">
        <v>89</v>
      </c>
      <c r="G66" s="7" t="s">
        <v>156</v>
      </c>
      <c r="H66" s="6" t="s">
        <v>70</v>
      </c>
      <c r="I66" s="8" t="s">
        <v>21</v>
      </c>
      <c r="J66" s="9" t="s">
        <v>29</v>
      </c>
      <c r="K66" s="6"/>
      <c r="L66" s="10"/>
      <c r="M66" s="11" t="s">
        <v>249</v>
      </c>
    </row>
    <row r="67" customFormat="false" ht="15" hidden="false" customHeight="false" outlineLevel="0" collapsed="false">
      <c r="A67" s="12" t="s">
        <v>173</v>
      </c>
      <c r="B67" s="4" t="s">
        <v>250</v>
      </c>
      <c r="C67" s="5" t="s">
        <v>251</v>
      </c>
      <c r="D67" s="6" t="s">
        <v>175</v>
      </c>
      <c r="E67" s="5" t="s">
        <v>17</v>
      </c>
      <c r="F67" s="4" t="s">
        <v>18</v>
      </c>
      <c r="G67" s="7" t="s">
        <v>252</v>
      </c>
      <c r="H67" s="6" t="s">
        <v>40</v>
      </c>
      <c r="I67" s="8" t="s">
        <v>21</v>
      </c>
      <c r="J67" s="9" t="s">
        <v>29</v>
      </c>
      <c r="K67" s="6"/>
      <c r="L67" s="10"/>
      <c r="M67" s="11" t="s">
        <v>127</v>
      </c>
    </row>
    <row r="68" customFormat="false" ht="15" hidden="false" customHeight="false" outlineLevel="0" collapsed="false">
      <c r="A68" s="12" t="s">
        <v>173</v>
      </c>
      <c r="B68" s="4" t="s">
        <v>253</v>
      </c>
      <c r="C68" s="5" t="s">
        <v>251</v>
      </c>
      <c r="D68" s="6" t="s">
        <v>175</v>
      </c>
      <c r="E68" s="5" t="s">
        <v>17</v>
      </c>
      <c r="F68" s="4" t="s">
        <v>18</v>
      </c>
      <c r="G68" s="7" t="s">
        <v>254</v>
      </c>
      <c r="H68" s="6" t="s">
        <v>20</v>
      </c>
      <c r="I68" s="8" t="s">
        <v>21</v>
      </c>
      <c r="J68" s="9" t="s">
        <v>29</v>
      </c>
      <c r="K68" s="6"/>
      <c r="L68" s="10"/>
      <c r="M68" s="7"/>
    </row>
    <row r="69" customFormat="false" ht="15" hidden="false" customHeight="false" outlineLevel="0" collapsed="false">
      <c r="A69" s="12" t="s">
        <v>173</v>
      </c>
      <c r="B69" s="4" t="s">
        <v>255</v>
      </c>
      <c r="C69" s="5" t="s">
        <v>251</v>
      </c>
      <c r="D69" s="6" t="s">
        <v>175</v>
      </c>
      <c r="E69" s="5" t="s">
        <v>17</v>
      </c>
      <c r="F69" s="4" t="s">
        <v>85</v>
      </c>
      <c r="G69" s="11" t="s">
        <v>256</v>
      </c>
      <c r="H69" s="9" t="s">
        <v>57</v>
      </c>
      <c r="I69" s="8" t="s">
        <v>21</v>
      </c>
      <c r="J69" s="9" t="s">
        <v>29</v>
      </c>
      <c r="K69" s="6"/>
      <c r="L69" s="10"/>
      <c r="M69" s="7" t="s">
        <v>257</v>
      </c>
    </row>
    <row r="70" customFormat="false" ht="15" hidden="false" customHeight="false" outlineLevel="0" collapsed="false">
      <c r="A70" s="12" t="s">
        <v>173</v>
      </c>
      <c r="B70" s="4" t="s">
        <v>258</v>
      </c>
      <c r="C70" s="5" t="s">
        <v>76</v>
      </c>
      <c r="D70" s="6" t="s">
        <v>175</v>
      </c>
      <c r="E70" s="5" t="s">
        <v>17</v>
      </c>
      <c r="F70" s="4" t="s">
        <v>18</v>
      </c>
      <c r="G70" s="11" t="s">
        <v>259</v>
      </c>
      <c r="H70" s="6" t="s">
        <v>40</v>
      </c>
      <c r="I70" s="8" t="s">
        <v>21</v>
      </c>
      <c r="J70" s="9" t="s">
        <v>29</v>
      </c>
      <c r="K70" s="6"/>
      <c r="L70" s="10"/>
      <c r="M70" s="11" t="s">
        <v>260</v>
      </c>
    </row>
    <row r="71" customFormat="false" ht="15" hidden="false" customHeight="false" outlineLevel="0" collapsed="false">
      <c r="A71" s="12" t="s">
        <v>173</v>
      </c>
      <c r="B71" s="4" t="s">
        <v>261</v>
      </c>
      <c r="C71" s="5" t="s">
        <v>76</v>
      </c>
      <c r="D71" s="6" t="s">
        <v>175</v>
      </c>
      <c r="E71" s="5" t="s">
        <v>17</v>
      </c>
      <c r="F71" s="4" t="s">
        <v>18</v>
      </c>
      <c r="G71" s="7" t="s">
        <v>262</v>
      </c>
      <c r="H71" s="6" t="s">
        <v>20</v>
      </c>
      <c r="I71" s="8" t="s">
        <v>21</v>
      </c>
      <c r="J71" s="9" t="s">
        <v>29</v>
      </c>
      <c r="K71" s="6"/>
      <c r="L71" s="10"/>
      <c r="M71" s="11" t="s">
        <v>263</v>
      </c>
    </row>
    <row r="72" customFormat="false" ht="15" hidden="false" customHeight="false" outlineLevel="0" collapsed="false">
      <c r="A72" s="12" t="s">
        <v>173</v>
      </c>
      <c r="B72" s="4" t="s">
        <v>264</v>
      </c>
      <c r="C72" s="5" t="s">
        <v>265</v>
      </c>
      <c r="D72" s="6" t="s">
        <v>175</v>
      </c>
      <c r="E72" s="5" t="s">
        <v>17</v>
      </c>
      <c r="F72" s="4" t="s">
        <v>89</v>
      </c>
      <c r="G72" s="11" t="s">
        <v>266</v>
      </c>
      <c r="H72" s="6" t="s">
        <v>40</v>
      </c>
      <c r="I72" s="8" t="s">
        <v>21</v>
      </c>
      <c r="J72" s="9" t="s">
        <v>29</v>
      </c>
      <c r="K72" s="6"/>
      <c r="L72" s="10"/>
      <c r="M72" s="7" t="s">
        <v>267</v>
      </c>
    </row>
    <row r="73" customFormat="false" ht="15" hidden="false" customHeight="false" outlineLevel="0" collapsed="false">
      <c r="A73" s="12" t="s">
        <v>173</v>
      </c>
      <c r="B73" s="4" t="s">
        <v>268</v>
      </c>
      <c r="C73" s="5" t="s">
        <v>115</v>
      </c>
      <c r="D73" s="6" t="s">
        <v>175</v>
      </c>
      <c r="E73" s="5" t="s">
        <v>17</v>
      </c>
      <c r="F73" s="4" t="s">
        <v>89</v>
      </c>
      <c r="G73" s="11" t="s">
        <v>269</v>
      </c>
      <c r="H73" s="6" t="s">
        <v>40</v>
      </c>
      <c r="I73" s="8" t="s">
        <v>21</v>
      </c>
      <c r="J73" s="9" t="s">
        <v>29</v>
      </c>
      <c r="K73" s="6"/>
      <c r="L73" s="10"/>
      <c r="M73" s="7" t="s">
        <v>270</v>
      </c>
    </row>
    <row r="74" customFormat="false" ht="15" hidden="false" customHeight="false" outlineLevel="0" collapsed="false">
      <c r="A74" s="13" t="s">
        <v>271</v>
      </c>
      <c r="B74" s="4" t="s">
        <v>272</v>
      </c>
      <c r="C74" s="5" t="s">
        <v>76</v>
      </c>
      <c r="D74" s="6" t="s">
        <v>175</v>
      </c>
      <c r="E74" s="5" t="s">
        <v>273</v>
      </c>
      <c r="F74" s="4" t="s">
        <v>18</v>
      </c>
      <c r="G74" s="11" t="s">
        <v>274</v>
      </c>
      <c r="H74" s="6" t="s">
        <v>20</v>
      </c>
      <c r="I74" s="8" t="s">
        <v>21</v>
      </c>
      <c r="J74" s="9" t="s">
        <v>29</v>
      </c>
      <c r="K74" s="6"/>
      <c r="L74" s="10"/>
      <c r="M74" s="11" t="s">
        <v>275</v>
      </c>
    </row>
    <row r="75" customFormat="false" ht="15" hidden="false" customHeight="false" outlineLevel="0" collapsed="false">
      <c r="A75" s="13" t="s">
        <v>271</v>
      </c>
      <c r="B75" s="4" t="s">
        <v>276</v>
      </c>
      <c r="C75" s="5" t="s">
        <v>251</v>
      </c>
      <c r="D75" s="6" t="s">
        <v>175</v>
      </c>
      <c r="E75" s="5" t="s">
        <v>277</v>
      </c>
      <c r="F75" s="4" t="s">
        <v>89</v>
      </c>
      <c r="G75" s="7" t="s">
        <v>278</v>
      </c>
      <c r="H75" s="9" t="s">
        <v>57</v>
      </c>
      <c r="I75" s="8" t="s">
        <v>21</v>
      </c>
      <c r="J75" s="9" t="s">
        <v>29</v>
      </c>
      <c r="K75" s="6"/>
      <c r="L75" s="10"/>
      <c r="M75" s="11" t="s">
        <v>279</v>
      </c>
    </row>
    <row r="76" customFormat="false" ht="15" hidden="false" customHeight="false" outlineLevel="0" collapsed="false">
      <c r="A76" s="13" t="s">
        <v>271</v>
      </c>
      <c r="B76" s="4" t="s">
        <v>280</v>
      </c>
      <c r="C76" s="5" t="s">
        <v>281</v>
      </c>
      <c r="D76" s="6" t="s">
        <v>16</v>
      </c>
      <c r="E76" s="5" t="s">
        <v>282</v>
      </c>
      <c r="F76" s="4" t="s">
        <v>89</v>
      </c>
      <c r="G76" s="11" t="s">
        <v>283</v>
      </c>
      <c r="H76" s="9" t="s">
        <v>284</v>
      </c>
      <c r="I76" s="8" t="s">
        <v>21</v>
      </c>
      <c r="J76" s="9" t="s">
        <v>285</v>
      </c>
      <c r="K76" s="6"/>
      <c r="L76" s="10"/>
      <c r="M76" s="11" t="s">
        <v>286</v>
      </c>
    </row>
    <row r="77" customFormat="false" ht="15" hidden="false" customHeight="false" outlineLevel="0" collapsed="false">
      <c r="A77" s="13" t="s">
        <v>271</v>
      </c>
      <c r="B77" s="4" t="s">
        <v>287</v>
      </c>
      <c r="C77" s="5" t="s">
        <v>129</v>
      </c>
      <c r="D77" s="6" t="s">
        <v>16</v>
      </c>
      <c r="E77" s="5" t="s">
        <v>288</v>
      </c>
      <c r="F77" s="5" t="s">
        <v>284</v>
      </c>
      <c r="G77" s="11" t="s">
        <v>284</v>
      </c>
      <c r="H77" s="9" t="s">
        <v>284</v>
      </c>
      <c r="I77" s="4"/>
      <c r="J77" s="9" t="s">
        <v>285</v>
      </c>
      <c r="K77" s="6"/>
      <c r="L77" s="10"/>
      <c r="M77" s="11" t="s">
        <v>289</v>
      </c>
    </row>
    <row r="78" customFormat="false" ht="15" hidden="false" customHeight="false" outlineLevel="0" collapsed="false">
      <c r="A78" s="13" t="s">
        <v>271</v>
      </c>
      <c r="B78" s="4" t="s">
        <v>290</v>
      </c>
      <c r="C78" s="5" t="s">
        <v>129</v>
      </c>
      <c r="D78" s="6" t="s">
        <v>16</v>
      </c>
      <c r="E78" s="5" t="s">
        <v>288</v>
      </c>
      <c r="F78" s="5" t="s">
        <v>284</v>
      </c>
      <c r="G78" s="11" t="s">
        <v>284</v>
      </c>
      <c r="H78" s="9" t="s">
        <v>284</v>
      </c>
      <c r="I78" s="4"/>
      <c r="J78" s="9" t="s">
        <v>285</v>
      </c>
      <c r="K78" s="6"/>
      <c r="L78" s="10"/>
      <c r="M78" s="11" t="s">
        <v>291</v>
      </c>
    </row>
    <row r="79" customFormat="false" ht="15" hidden="false" customHeight="false" outlineLevel="0" collapsed="false">
      <c r="A79" s="13" t="s">
        <v>271</v>
      </c>
      <c r="B79" s="4" t="s">
        <v>292</v>
      </c>
      <c r="C79" s="5" t="s">
        <v>115</v>
      </c>
      <c r="D79" s="6" t="s">
        <v>16</v>
      </c>
      <c r="E79" s="5" t="s">
        <v>288</v>
      </c>
      <c r="F79" s="5" t="s">
        <v>293</v>
      </c>
      <c r="G79" s="11" t="s">
        <v>284</v>
      </c>
      <c r="H79" s="9" t="s">
        <v>284</v>
      </c>
      <c r="I79" s="8" t="s">
        <v>21</v>
      </c>
      <c r="J79" s="9" t="s">
        <v>285</v>
      </c>
      <c r="K79" s="6"/>
      <c r="L79" s="10"/>
      <c r="M79" s="11" t="s">
        <v>294</v>
      </c>
    </row>
    <row r="80" customFormat="false" ht="15" hidden="false" customHeight="false" outlineLevel="0" collapsed="false">
      <c r="A80" s="13" t="s">
        <v>271</v>
      </c>
      <c r="B80" s="4" t="s">
        <v>295</v>
      </c>
      <c r="C80" s="4" t="s">
        <v>32</v>
      </c>
      <c r="D80" s="6" t="s">
        <v>16</v>
      </c>
      <c r="E80" s="5" t="s">
        <v>288</v>
      </c>
      <c r="F80" s="5" t="s">
        <v>284</v>
      </c>
      <c r="G80" s="11" t="s">
        <v>284</v>
      </c>
      <c r="H80" s="9" t="s">
        <v>284</v>
      </c>
      <c r="I80" s="4"/>
      <c r="J80" s="9" t="s">
        <v>285</v>
      </c>
      <c r="K80" s="6"/>
      <c r="L80" s="10"/>
      <c r="M80" s="11" t="s">
        <v>296</v>
      </c>
    </row>
    <row r="81" customFormat="false" ht="15" hidden="false" customHeight="false" outlineLevel="0" collapsed="false">
      <c r="A81" s="13" t="s">
        <v>271</v>
      </c>
      <c r="B81" s="4" t="s">
        <v>297</v>
      </c>
      <c r="C81" s="4" t="s">
        <v>38</v>
      </c>
      <c r="D81" s="6" t="s">
        <v>16</v>
      </c>
      <c r="E81" s="5" t="s">
        <v>288</v>
      </c>
      <c r="F81" s="5" t="s">
        <v>284</v>
      </c>
      <c r="G81" s="11" t="s">
        <v>284</v>
      </c>
      <c r="H81" s="9" t="s">
        <v>284</v>
      </c>
      <c r="I81" s="8" t="s">
        <v>21</v>
      </c>
      <c r="J81" s="9" t="s">
        <v>285</v>
      </c>
      <c r="K81" s="6"/>
      <c r="L81" s="10"/>
      <c r="M81" s="11" t="s">
        <v>298</v>
      </c>
    </row>
    <row r="82" customFormat="false" ht="15" hidden="false" customHeight="false" outlineLevel="0" collapsed="false">
      <c r="A82" s="13" t="s">
        <v>271</v>
      </c>
      <c r="B82" s="4" t="s">
        <v>299</v>
      </c>
      <c r="C82" s="5" t="s">
        <v>159</v>
      </c>
      <c r="D82" s="6" t="s">
        <v>16</v>
      </c>
      <c r="E82" s="5" t="s">
        <v>288</v>
      </c>
      <c r="F82" s="5" t="s">
        <v>284</v>
      </c>
      <c r="G82" s="11" t="s">
        <v>300</v>
      </c>
      <c r="H82" s="9" t="s">
        <v>284</v>
      </c>
      <c r="I82" s="4"/>
      <c r="J82" s="9" t="s">
        <v>285</v>
      </c>
      <c r="K82" s="6"/>
      <c r="L82" s="10"/>
      <c r="M82" s="11" t="s">
        <v>301</v>
      </c>
    </row>
    <row r="83" customFormat="false" ht="15" hidden="false" customHeight="false" outlineLevel="0" collapsed="false">
      <c r="A83" s="13" t="s">
        <v>271</v>
      </c>
      <c r="B83" s="4" t="s">
        <v>302</v>
      </c>
      <c r="C83" s="4" t="s">
        <v>303</v>
      </c>
      <c r="D83" s="6" t="s">
        <v>16</v>
      </c>
      <c r="E83" s="5" t="s">
        <v>288</v>
      </c>
      <c r="F83" s="5" t="s">
        <v>284</v>
      </c>
      <c r="G83" s="11" t="s">
        <v>284</v>
      </c>
      <c r="H83" s="9" t="s">
        <v>284</v>
      </c>
      <c r="I83" s="4"/>
      <c r="J83" s="9" t="s">
        <v>285</v>
      </c>
      <c r="K83" s="6"/>
      <c r="L83" s="10"/>
      <c r="M83" s="11" t="s">
        <v>304</v>
      </c>
    </row>
    <row r="84" customFormat="false" ht="15" hidden="false" customHeight="false" outlineLevel="0" collapsed="false">
      <c r="A84" s="13" t="s">
        <v>271</v>
      </c>
      <c r="B84" s="4" t="s">
        <v>305</v>
      </c>
      <c r="C84" s="4" t="s">
        <v>303</v>
      </c>
      <c r="D84" s="6" t="s">
        <v>16</v>
      </c>
      <c r="E84" s="5" t="s">
        <v>288</v>
      </c>
      <c r="F84" s="5" t="s">
        <v>284</v>
      </c>
      <c r="G84" s="11" t="s">
        <v>284</v>
      </c>
      <c r="H84" s="9" t="s">
        <v>284</v>
      </c>
      <c r="I84" s="4"/>
      <c r="J84" s="9" t="s">
        <v>285</v>
      </c>
      <c r="K84" s="6"/>
      <c r="L84" s="10"/>
      <c r="M84" s="11" t="s">
        <v>306</v>
      </c>
    </row>
    <row r="85" customFormat="false" ht="15" hidden="false" customHeight="false" outlineLevel="0" collapsed="false">
      <c r="A85" s="13" t="s">
        <v>271</v>
      </c>
      <c r="B85" s="4" t="s">
        <v>307</v>
      </c>
      <c r="C85" s="4" t="s">
        <v>84</v>
      </c>
      <c r="D85" s="6" t="s">
        <v>16</v>
      </c>
      <c r="E85" s="5" t="s">
        <v>57</v>
      </c>
      <c r="F85" s="5" t="s">
        <v>57</v>
      </c>
      <c r="G85" s="11" t="s">
        <v>57</v>
      </c>
      <c r="H85" s="9" t="s">
        <v>57</v>
      </c>
      <c r="I85" s="4"/>
      <c r="J85" s="9" t="s">
        <v>29</v>
      </c>
      <c r="K85" s="6"/>
      <c r="L85" s="10"/>
      <c r="M85" s="11" t="s">
        <v>308</v>
      </c>
    </row>
  </sheetData>
  <autoFilter ref="A1:M85"/>
  <conditionalFormatting sqref="J2:J85">
    <cfRule type="cellIs" priority="2" operator="equal" aboveAverage="0" equalAverage="0" bottom="0" percent="0" rank="0" text="" dxfId="14">
      <formula>"승인됨"</formula>
    </cfRule>
    <cfRule type="cellIs" priority="3" operator="equal" aboveAverage="0" equalAverage="0" bottom="0" percent="0" rank="0" text="" dxfId="15">
      <formula>"신청함"</formula>
    </cfRule>
    <cfRule type="cellIs" priority="4" operator="equal" aboveAverage="0" equalAverage="0" bottom="0" percent="0" rank="0" text="" dxfId="16">
      <formula>"거절됨"</formula>
    </cfRule>
    <cfRule type="cellIs" priority="5" operator="equal" aboveAverage="0" equalAverage="0" bottom="0" percent="0" rank="0" text="" dxfId="17">
      <formula>"프로그램 없음"</formula>
    </cfRule>
  </conditionalFormatting>
  <dataValidations count="1">
    <dataValidation allowBlank="true" error="목록에서 선택하세요" errorStyle="stop" errorTitle="잘못된 값" operator="between" showDropDown="false" showErrorMessage="false" showInputMessage="false" sqref="J2:J85" type="list">
      <formula1>"미신청,신청함,승인됨,거절됨,프로그램 없음"</formula1>
      <formula2>0</formula2>
    </dataValidation>
  </dataValidations>
  <hyperlinks>
    <hyperlink ref="I2" r:id="rId1" display="신청 페이지 열기"/>
    <hyperlink ref="I3" r:id="rId2" display="신청 페이지 열기"/>
    <hyperlink ref="I4" r:id="rId3" display="신청 페이지 열기"/>
    <hyperlink ref="I5" r:id="rId4" display="신청 페이지 열기"/>
    <hyperlink ref="I6" r:id="rId5" display="신청 페이지 열기"/>
    <hyperlink ref="I7" r:id="rId6" display="신청 페이지 열기"/>
    <hyperlink ref="I8" r:id="rId7" display="신청 페이지 열기"/>
    <hyperlink ref="I9" r:id="rId8" display="신청 페이지 열기"/>
    <hyperlink ref="I10" r:id="rId9" display="신청 페이지 열기"/>
    <hyperlink ref="I11" r:id="rId10" display="신청 페이지 열기"/>
    <hyperlink ref="I12" r:id="rId11" display="신청 페이지 열기"/>
    <hyperlink ref="I13" r:id="rId12" display="신청 페이지 열기"/>
    <hyperlink ref="I14" r:id="rId13" display="신청 페이지 열기"/>
    <hyperlink ref="I15" r:id="rId14" display="신청 페이지 열기"/>
    <hyperlink ref="I16" r:id="rId15" display="신청 페이지 열기"/>
    <hyperlink ref="I17" r:id="rId16" display="신청 페이지 열기"/>
    <hyperlink ref="I18" r:id="rId17" display="신청 페이지 열기"/>
    <hyperlink ref="I19" r:id="rId18" display="신청 페이지 열기"/>
    <hyperlink ref="I20" r:id="rId19" display="신청 페이지 열기"/>
    <hyperlink ref="I21" r:id="rId20" display="신청 페이지 열기"/>
    <hyperlink ref="I22" r:id="rId21" display="신청 페이지 열기"/>
    <hyperlink ref="I23" r:id="rId22" display="신청 페이지 열기"/>
    <hyperlink ref="I24" r:id="rId23" display="신청 페이지 열기"/>
    <hyperlink ref="I25" r:id="rId24" display="신청 페이지 열기"/>
    <hyperlink ref="I26" r:id="rId25" display="신청 페이지 열기"/>
    <hyperlink ref="I27" r:id="rId26" display="신청 페이지 열기"/>
    <hyperlink ref="I28" r:id="rId27" display="신청 페이지 열기"/>
    <hyperlink ref="I29" r:id="rId28" display="신청 페이지 열기"/>
    <hyperlink ref="I30" r:id="rId29" display="신청 페이지 열기"/>
    <hyperlink ref="I31" r:id="rId30" display="신청 페이지 열기"/>
    <hyperlink ref="I32" r:id="rId31" display="신청 페이지 열기"/>
    <hyperlink ref="I33" r:id="rId32" display="신청 페이지 열기"/>
    <hyperlink ref="I34" r:id="rId33" display="신청 페이지 열기"/>
    <hyperlink ref="I35" r:id="rId34" display="신청 페이지 열기"/>
    <hyperlink ref="I36" r:id="rId35" display="신청 페이지 열기"/>
    <hyperlink ref="I37" r:id="rId36" display="신청 페이지 열기"/>
    <hyperlink ref="I38" r:id="rId37" display="신청 페이지 열기"/>
    <hyperlink ref="I39" r:id="rId38" display="신청 페이지 열기"/>
    <hyperlink ref="I40" r:id="rId39" display="신청 페이지 열기"/>
    <hyperlink ref="I41" r:id="rId40" display="신청 페이지 열기"/>
    <hyperlink ref="I42" r:id="rId41" display="신청 페이지 열기"/>
    <hyperlink ref="I43" r:id="rId42" display="신청 페이지 열기"/>
    <hyperlink ref="I44" r:id="rId43" display="신청 페이지 열기"/>
    <hyperlink ref="I45" r:id="rId44" display="신청 페이지 열기"/>
    <hyperlink ref="I46" r:id="rId45" display="신청 페이지 열기"/>
    <hyperlink ref="I47" r:id="rId46" display="신청 페이지 열기"/>
    <hyperlink ref="I48" r:id="rId47" display="신청 페이지 열기"/>
    <hyperlink ref="I49" r:id="rId48" display="신청 페이지 열기"/>
    <hyperlink ref="I50" r:id="rId49" display="신청 페이지 열기"/>
    <hyperlink ref="I51" r:id="rId50" display="신청 페이지 열기"/>
    <hyperlink ref="I52" r:id="rId51" display="신청 페이지 열기"/>
    <hyperlink ref="I53" r:id="rId52" display="신청 페이지 열기"/>
    <hyperlink ref="I54" r:id="rId53" display="신청 페이지 열기"/>
    <hyperlink ref="I55" r:id="rId54" display="신청 페이지 열기"/>
    <hyperlink ref="I56" r:id="rId55" display="신청 페이지 열기"/>
    <hyperlink ref="I57" r:id="rId56" display="신청 페이지 열기"/>
    <hyperlink ref="I58" r:id="rId57" display="신청 페이지 열기"/>
    <hyperlink ref="I59" r:id="rId58" display="신청 페이지 열기"/>
    <hyperlink ref="I60" r:id="rId59" display="신청 페이지 열기"/>
    <hyperlink ref="I61" r:id="rId60" display="신청 페이지 열기"/>
    <hyperlink ref="I62" r:id="rId61" display="신청 페이지 열기"/>
    <hyperlink ref="I63" r:id="rId62" display="신청 페이지 열기"/>
    <hyperlink ref="I64" r:id="rId63" display="신청 페이지 열기"/>
    <hyperlink ref="I65" r:id="rId64" display="신청 페이지 열기"/>
    <hyperlink ref="I66" r:id="rId65" display="신청 페이지 열기"/>
    <hyperlink ref="I67" r:id="rId66" display="신청 페이지 열기"/>
    <hyperlink ref="I68" r:id="rId67" display="신청 페이지 열기"/>
    <hyperlink ref="I69" r:id="rId68" display="신청 페이지 열기"/>
    <hyperlink ref="I70" r:id="rId69" display="신청 페이지 열기"/>
    <hyperlink ref="I71" r:id="rId70" display="신청 페이지 열기"/>
    <hyperlink ref="I72" r:id="rId71" display="신청 페이지 열기"/>
    <hyperlink ref="I73" r:id="rId72" display="신청 페이지 열기"/>
    <hyperlink ref="I74" r:id="rId73" display="신청 페이지 열기"/>
    <hyperlink ref="I75" r:id="rId74" display="신청 페이지 열기"/>
    <hyperlink ref="I76" r:id="rId75" display="신청 페이지 열기"/>
    <hyperlink ref="I79" r:id="rId76" display="신청 페이지 열기"/>
    <hyperlink ref="I81" r:id="rId77" display="신청 페이지 열기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14"/>
  </cols>
  <sheetData>
    <row r="2" customFormat="false" ht="57.45" hidden="false" customHeight="false" outlineLevel="0" collapsed="false">
      <c r="B2" s="14" t="s">
        <v>309</v>
      </c>
    </row>
    <row r="4" customFormat="false" ht="17.15" hidden="false" customHeight="false" outlineLevel="0" collapsed="false">
      <c r="B4" s="15" t="s">
        <v>310</v>
      </c>
    </row>
    <row r="5" customFormat="false" ht="29.85" hidden="false" customHeight="false" outlineLevel="0" collapsed="false">
      <c r="B5" s="16" t="s">
        <v>311</v>
      </c>
    </row>
    <row r="6" customFormat="false" ht="29.85" hidden="false" customHeight="false" outlineLevel="0" collapsed="false">
      <c r="B6" s="17" t="s">
        <v>312</v>
      </c>
    </row>
    <row r="7" customFormat="false" ht="44" hidden="false" customHeight="false" outlineLevel="0" collapsed="false">
      <c r="B7" s="17" t="s">
        <v>313</v>
      </c>
    </row>
    <row r="8" customFormat="false" ht="44" hidden="false" customHeight="false" outlineLevel="0" collapsed="false">
      <c r="B8" s="17" t="s">
        <v>314</v>
      </c>
    </row>
    <row r="10" customFormat="false" ht="17.15" hidden="false" customHeight="false" outlineLevel="0" collapsed="false">
      <c r="B10" s="15" t="s">
        <v>315</v>
      </c>
    </row>
    <row r="11" customFormat="false" ht="44" hidden="false" customHeight="false" outlineLevel="0" collapsed="false">
      <c r="B11" s="16" t="s">
        <v>316</v>
      </c>
    </row>
    <row r="12" customFormat="false" ht="29.85" hidden="false" customHeight="false" outlineLevel="0" collapsed="false">
      <c r="B12" s="17" t="s">
        <v>317</v>
      </c>
    </row>
    <row r="14" customFormat="false" ht="17.15" hidden="false" customHeight="false" outlineLevel="0" collapsed="false">
      <c r="B14" s="15" t="s">
        <v>318</v>
      </c>
    </row>
    <row r="15" customFormat="false" ht="41" hidden="false" customHeight="false" outlineLevel="0" collapsed="false">
      <c r="B15" s="16" t="s">
        <v>319</v>
      </c>
    </row>
    <row r="16" customFormat="false" ht="44" hidden="false" customHeight="false" outlineLevel="0" collapsed="false">
      <c r="B16" s="16" t="s">
        <v>320</v>
      </c>
    </row>
    <row r="17" customFormat="false" ht="44" hidden="false" customHeight="false" outlineLevel="0" collapsed="false">
      <c r="B17" s="16" t="s">
        <v>321</v>
      </c>
    </row>
    <row r="19" customFormat="false" ht="32.8" hidden="false" customHeight="false" outlineLevel="0" collapsed="false">
      <c r="B19" s="15" t="s">
        <v>322</v>
      </c>
    </row>
    <row r="20" customFormat="false" ht="23.85" hidden="false" customHeight="false" outlineLevel="0" collapsed="false">
      <c r="B20" s="18" t="s">
        <v>323</v>
      </c>
      <c r="C20" s="16" t="s">
        <v>324</v>
      </c>
    </row>
    <row r="21" customFormat="false" ht="35.05" hidden="false" customHeight="false" outlineLevel="0" collapsed="false">
      <c r="B21" s="18" t="s">
        <v>325</v>
      </c>
      <c r="C21" s="16" t="s">
        <v>326</v>
      </c>
    </row>
    <row r="22" customFormat="false" ht="15" hidden="false" customHeight="false" outlineLevel="0" collapsed="false">
      <c r="B22" s="18" t="s">
        <v>327</v>
      </c>
      <c r="C22" s="16" t="s">
        <v>328</v>
      </c>
    </row>
    <row r="23" customFormat="false" ht="15" hidden="false" customHeight="false" outlineLevel="0" collapsed="false">
      <c r="B23" s="18" t="s">
        <v>143</v>
      </c>
      <c r="C23" s="16" t="s">
        <v>329</v>
      </c>
    </row>
    <row r="24" customFormat="false" ht="29.85" hidden="false" customHeight="false" outlineLevel="0" collapsed="false">
      <c r="B24" s="19" t="s">
        <v>330</v>
      </c>
      <c r="C24" s="16" t="s">
        <v>331</v>
      </c>
    </row>
    <row r="26" customFormat="false" ht="17.15" hidden="false" customHeight="false" outlineLevel="0" collapsed="false">
      <c r="B26" s="15" t="s">
        <v>332</v>
      </c>
    </row>
    <row r="27" customFormat="false" ht="15" hidden="false" customHeight="false" outlineLevel="0" collapsed="false">
      <c r="B27" s="19" t="s">
        <v>333</v>
      </c>
      <c r="C27" s="20" t="n">
        <f aca="false">COUNTA('신청 트래커'!B2:B85)</f>
        <v>84</v>
      </c>
    </row>
    <row r="28" customFormat="false" ht="15" hidden="false" customHeight="false" outlineLevel="0" collapsed="false">
      <c r="B28" s="17" t="s">
        <v>22</v>
      </c>
      <c r="C28" s="20" t="n">
        <f aca="false">COUNTIF('신청 트래커'!J:J,"신청함")</f>
        <v>1</v>
      </c>
    </row>
    <row r="29" customFormat="false" ht="15" hidden="false" customHeight="false" outlineLevel="0" collapsed="false">
      <c r="B29" s="17" t="s">
        <v>334</v>
      </c>
      <c r="C29" s="20" t="n">
        <f aca="false">COUNTIF('신청 트래커'!J:J,"승인됨")</f>
        <v>0</v>
      </c>
    </row>
    <row r="30" customFormat="false" ht="15" hidden="false" customHeight="false" outlineLevel="0" collapsed="false">
      <c r="B30" s="17" t="s">
        <v>335</v>
      </c>
      <c r="C30" s="20" t="n">
        <f aca="false">COUNTIF('신청 트래커'!J:J,"거절됨")</f>
        <v>0</v>
      </c>
    </row>
    <row r="31" customFormat="false" ht="15" hidden="false" customHeight="false" outlineLevel="0" collapsed="false">
      <c r="B31" s="17" t="s">
        <v>29</v>
      </c>
      <c r="C31" s="20" t="n">
        <f aca="false">COUNTIF('신청 트래커'!J:J,"미신청")</f>
        <v>74</v>
      </c>
    </row>
    <row r="32" customFormat="false" ht="15" hidden="false" customHeight="false" outlineLevel="0" collapsed="false">
      <c r="B32" s="17" t="s">
        <v>285</v>
      </c>
      <c r="C32" s="20" t="n">
        <f aca="false">COUNTIF('신청 트래커'!J:J,"프로그램 없음")</f>
        <v>9</v>
      </c>
    </row>
    <row r="34" customFormat="false" ht="58.2" hidden="false" customHeight="false" outlineLevel="0" collapsed="false">
      <c r="B34" s="21" t="s"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2026-07-20T05:25:40Z</dcterms:created>
  <dc:creator>openpyxl</dc:creator>
  <dc:description/>
  <dc:language>en-US</dc:language>
  <cp:lastModifiedBy/>
  <dcterms:modified xsi:type="dcterms:W3CDTF">2026-07-20T05:25:40Z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